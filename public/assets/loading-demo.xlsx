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ball\Downloads\"/>
    </mc:Choice>
  </mc:AlternateContent>
  <xr:revisionPtr revIDLastSave="0" documentId="8_{ECEEB4D4-02AF-4DE7-9BB2-5DC94A69D321}" xr6:coauthVersionLast="47" xr6:coauthVersionMax="47" xr10:uidLastSave="{00000000-0000-0000-0000-000000000000}"/>
  <bookViews>
    <workbookView xWindow="-108" yWindow="-108" windowWidth="23256" windowHeight="13896" xr2:uid="{05466FA1-CEEE-4921-A52C-7CE92F3E02B7}"/>
  </bookViews>
  <sheets>
    <sheet name="LOADING DEMO" sheetId="1" r:id="rId1"/>
    <sheet name="Containers" sheetId="2" r:id="rId2"/>
  </sheets>
  <definedNames>
    <definedName name="_xlnm._FilterDatabase" localSheetId="0" hidden="1">'LOADING DEMO'!$M$1:$T$342</definedName>
  </definedNames>
  <calcPr calcId="0"/>
</workbook>
</file>

<file path=xl/calcChain.xml><?xml version="1.0" encoding="utf-8"?>
<calcChain xmlns="http://schemas.openxmlformats.org/spreadsheetml/2006/main">
  <c r="X343" i="1" l="1"/>
  <c r="W343" i="1"/>
  <c r="W342" i="1"/>
  <c r="W341" i="1"/>
  <c r="W340" i="1"/>
  <c r="W339" i="1"/>
  <c r="W338" i="1"/>
  <c r="W337" i="1"/>
  <c r="W336" i="1"/>
  <c r="W335" i="1"/>
  <c r="W334" i="1"/>
  <c r="W333" i="1"/>
  <c r="W332" i="1"/>
  <c r="W318" i="1"/>
  <c r="W317" i="1"/>
  <c r="W316" i="1"/>
  <c r="W315" i="1"/>
  <c r="W314" i="1"/>
  <c r="W286" i="1"/>
  <c r="W285" i="1"/>
  <c r="W284" i="1"/>
  <c r="W264" i="1"/>
  <c r="W263" i="1"/>
  <c r="W262" i="1"/>
  <c r="W260" i="1"/>
  <c r="W259" i="1"/>
  <c r="W258" i="1"/>
  <c r="W257" i="1"/>
  <c r="W256" i="1"/>
  <c r="W255" i="1"/>
  <c r="W254" i="1"/>
  <c r="W253" i="1"/>
  <c r="W252" i="1"/>
  <c r="W251" i="1"/>
  <c r="W250" i="1"/>
  <c r="W249" i="1"/>
  <c r="W248" i="1"/>
  <c r="W247" i="1"/>
  <c r="W246" i="1"/>
  <c r="W245" i="1"/>
  <c r="W243" i="1"/>
  <c r="W242" i="1"/>
  <c r="W241" i="1"/>
  <c r="W240" i="1"/>
  <c r="W230" i="1"/>
  <c r="W229" i="1"/>
  <c r="W228" i="1"/>
  <c r="W227" i="1"/>
  <c r="W226" i="1"/>
  <c r="W225" i="1"/>
  <c r="W224" i="1"/>
  <c r="W223" i="1"/>
  <c r="W222" i="1"/>
  <c r="W220" i="1"/>
  <c r="W219" i="1"/>
  <c r="W218" i="1"/>
  <c r="W217" i="1"/>
  <c r="W216" i="1"/>
  <c r="W215" i="1"/>
  <c r="W214" i="1"/>
  <c r="W213" i="1"/>
  <c r="W212" i="1"/>
  <c r="W211" i="1"/>
  <c r="W210" i="1"/>
  <c r="W194" i="1"/>
  <c r="W177" i="1"/>
  <c r="W174" i="1"/>
  <c r="W170" i="1"/>
  <c r="W166" i="1"/>
  <c r="W165" i="1"/>
  <c r="W164" i="1"/>
  <c r="W163" i="1"/>
  <c r="W161" i="1"/>
  <c r="W135" i="1"/>
  <c r="W134" i="1"/>
  <c r="W133" i="1"/>
  <c r="W132" i="1"/>
  <c r="W131" i="1"/>
  <c r="W130" i="1"/>
  <c r="W129" i="1"/>
  <c r="W128" i="1"/>
  <c r="W127" i="1"/>
  <c r="W126" i="1"/>
  <c r="W125" i="1"/>
  <c r="W93" i="1"/>
  <c r="W92" i="1"/>
  <c r="W91" i="1"/>
  <c r="W90" i="1"/>
  <c r="W89" i="1"/>
  <c r="W88" i="1"/>
  <c r="W87" i="1"/>
  <c r="W74" i="1"/>
  <c r="W73" i="1"/>
  <c r="W34" i="1"/>
  <c r="W33" i="1"/>
  <c r="W32" i="1"/>
  <c r="W31" i="1"/>
  <c r="W30" i="1"/>
  <c r="W29" i="1"/>
  <c r="W28" i="1"/>
  <c r="W27" i="1"/>
  <c r="W26" i="1"/>
  <c r="W25" i="1"/>
  <c r="W24" i="1"/>
  <c r="W23" i="1"/>
  <c r="W18" i="1"/>
  <c r="W9" i="1"/>
  <c r="W8" i="1"/>
  <c r="R3" i="1"/>
  <c r="R4" i="1"/>
  <c r="R5" i="1"/>
  <c r="R6" i="1"/>
  <c r="R7" i="1"/>
  <c r="R8" i="1"/>
  <c r="X8" i="1" s="1"/>
  <c r="R9" i="1"/>
  <c r="X9" i="1" s="1"/>
  <c r="R10" i="1"/>
  <c r="R11" i="1"/>
  <c r="R12" i="1"/>
  <c r="R13" i="1"/>
  <c r="R14" i="1"/>
  <c r="R15" i="1"/>
  <c r="R16" i="1"/>
  <c r="R17" i="1"/>
  <c r="R18" i="1"/>
  <c r="X18" i="1" s="1"/>
  <c r="R19" i="1"/>
  <c r="R20" i="1"/>
  <c r="R21" i="1"/>
  <c r="R22" i="1"/>
  <c r="R23" i="1"/>
  <c r="X23" i="1" s="1"/>
  <c r="R24" i="1"/>
  <c r="X24" i="1" s="1"/>
  <c r="R25" i="1"/>
  <c r="X25" i="1" s="1"/>
  <c r="R26" i="1"/>
  <c r="X26" i="1" s="1"/>
  <c r="R27" i="1"/>
  <c r="X27" i="1" s="1"/>
  <c r="R28" i="1"/>
  <c r="X28" i="1" s="1"/>
  <c r="R29" i="1"/>
  <c r="X29" i="1" s="1"/>
  <c r="R30" i="1"/>
  <c r="X30" i="1" s="1"/>
  <c r="R31" i="1"/>
  <c r="X31" i="1" s="1"/>
  <c r="R32" i="1"/>
  <c r="X32" i="1" s="1"/>
  <c r="R33" i="1"/>
  <c r="X33" i="1" s="1"/>
  <c r="R34" i="1"/>
  <c r="X34" i="1" s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X73" i="1" s="1"/>
  <c r="R74" i="1"/>
  <c r="X74" i="1" s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X87" i="1" s="1"/>
  <c r="R88" i="1"/>
  <c r="X88" i="1" s="1"/>
  <c r="R89" i="1"/>
  <c r="X89" i="1" s="1"/>
  <c r="R90" i="1"/>
  <c r="X90" i="1" s="1"/>
  <c r="R91" i="1"/>
  <c r="X91" i="1" s="1"/>
  <c r="R92" i="1"/>
  <c r="X92" i="1" s="1"/>
  <c r="R93" i="1"/>
  <c r="X93" i="1" s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X125" i="1" s="1"/>
  <c r="R126" i="1"/>
  <c r="X126" i="1" s="1"/>
  <c r="R127" i="1"/>
  <c r="X127" i="1" s="1"/>
  <c r="R128" i="1"/>
  <c r="X128" i="1" s="1"/>
  <c r="R129" i="1"/>
  <c r="X129" i="1" s="1"/>
  <c r="R130" i="1"/>
  <c r="X130" i="1" s="1"/>
  <c r="R131" i="1"/>
  <c r="X131" i="1" s="1"/>
  <c r="R132" i="1"/>
  <c r="X132" i="1" s="1"/>
  <c r="R133" i="1"/>
  <c r="X133" i="1" s="1"/>
  <c r="R134" i="1"/>
  <c r="X134" i="1" s="1"/>
  <c r="R135" i="1"/>
  <c r="X135" i="1" s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X161" i="1" s="1"/>
  <c r="R162" i="1"/>
  <c r="R163" i="1"/>
  <c r="X163" i="1" s="1"/>
  <c r="R164" i="1"/>
  <c r="X164" i="1" s="1"/>
  <c r="R165" i="1"/>
  <c r="X165" i="1" s="1"/>
  <c r="R166" i="1"/>
  <c r="X166" i="1" s="1"/>
  <c r="R167" i="1"/>
  <c r="R168" i="1"/>
  <c r="R169" i="1"/>
  <c r="R170" i="1"/>
  <c r="X170" i="1" s="1"/>
  <c r="R171" i="1"/>
  <c r="R172" i="1"/>
  <c r="R173" i="1"/>
  <c r="R174" i="1"/>
  <c r="X174" i="1" s="1"/>
  <c r="R175" i="1"/>
  <c r="R176" i="1"/>
  <c r="R177" i="1"/>
  <c r="X177" i="1" s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X194" i="1" s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X210" i="1" s="1"/>
  <c r="R211" i="1"/>
  <c r="X211" i="1" s="1"/>
  <c r="R212" i="1"/>
  <c r="X212" i="1" s="1"/>
  <c r="R213" i="1"/>
  <c r="X213" i="1" s="1"/>
  <c r="R214" i="1"/>
  <c r="X214" i="1" s="1"/>
  <c r="R215" i="1"/>
  <c r="X215" i="1" s="1"/>
  <c r="R216" i="1"/>
  <c r="X216" i="1" s="1"/>
  <c r="R217" i="1"/>
  <c r="X217" i="1" s="1"/>
  <c r="R218" i="1"/>
  <c r="X218" i="1" s="1"/>
  <c r="R219" i="1"/>
  <c r="X219" i="1" s="1"/>
  <c r="R220" i="1"/>
  <c r="X220" i="1" s="1"/>
  <c r="R221" i="1"/>
  <c r="R222" i="1"/>
  <c r="X222" i="1" s="1"/>
  <c r="R223" i="1"/>
  <c r="X223" i="1" s="1"/>
  <c r="R224" i="1"/>
  <c r="X224" i="1" s="1"/>
  <c r="R225" i="1"/>
  <c r="X225" i="1" s="1"/>
  <c r="R226" i="1"/>
  <c r="X226" i="1" s="1"/>
  <c r="R227" i="1"/>
  <c r="X227" i="1" s="1"/>
  <c r="R228" i="1"/>
  <c r="X228" i="1" s="1"/>
  <c r="R229" i="1"/>
  <c r="X229" i="1" s="1"/>
  <c r="R230" i="1"/>
  <c r="X230" i="1" s="1"/>
  <c r="R231" i="1"/>
  <c r="R232" i="1"/>
  <c r="R233" i="1"/>
  <c r="R234" i="1"/>
  <c r="R235" i="1"/>
  <c r="R236" i="1"/>
  <c r="R237" i="1"/>
  <c r="R238" i="1"/>
  <c r="R239" i="1"/>
  <c r="R240" i="1"/>
  <c r="X240" i="1" s="1"/>
  <c r="R241" i="1"/>
  <c r="X241" i="1" s="1"/>
  <c r="R242" i="1"/>
  <c r="X242" i="1" s="1"/>
  <c r="R243" i="1"/>
  <c r="X243" i="1" s="1"/>
  <c r="R244" i="1"/>
  <c r="R245" i="1"/>
  <c r="X245" i="1" s="1"/>
  <c r="R246" i="1"/>
  <c r="X246" i="1" s="1"/>
  <c r="R247" i="1"/>
  <c r="X247" i="1" s="1"/>
  <c r="R248" i="1"/>
  <c r="X248" i="1" s="1"/>
  <c r="R249" i="1"/>
  <c r="X249" i="1" s="1"/>
  <c r="R250" i="1"/>
  <c r="X250" i="1" s="1"/>
  <c r="R251" i="1"/>
  <c r="X251" i="1" s="1"/>
  <c r="R252" i="1"/>
  <c r="X252" i="1" s="1"/>
  <c r="R253" i="1"/>
  <c r="X253" i="1" s="1"/>
  <c r="R254" i="1"/>
  <c r="X254" i="1" s="1"/>
  <c r="R255" i="1"/>
  <c r="X255" i="1" s="1"/>
  <c r="R256" i="1"/>
  <c r="X256" i="1" s="1"/>
  <c r="R257" i="1"/>
  <c r="X257" i="1" s="1"/>
  <c r="R258" i="1"/>
  <c r="X258" i="1" s="1"/>
  <c r="R259" i="1"/>
  <c r="X259" i="1" s="1"/>
  <c r="R260" i="1"/>
  <c r="X260" i="1" s="1"/>
  <c r="R261" i="1"/>
  <c r="R262" i="1"/>
  <c r="X262" i="1" s="1"/>
  <c r="R263" i="1"/>
  <c r="X263" i="1" s="1"/>
  <c r="R264" i="1"/>
  <c r="X264" i="1" s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X284" i="1" s="1"/>
  <c r="R285" i="1"/>
  <c r="X285" i="1" s="1"/>
  <c r="R286" i="1"/>
  <c r="X286" i="1" s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X314" i="1" s="1"/>
  <c r="R315" i="1"/>
  <c r="X315" i="1" s="1"/>
  <c r="R316" i="1"/>
  <c r="X316" i="1" s="1"/>
  <c r="R317" i="1"/>
  <c r="X317" i="1" s="1"/>
  <c r="R318" i="1"/>
  <c r="X318" i="1" s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X332" i="1" s="1"/>
  <c r="R333" i="1"/>
  <c r="X333" i="1" s="1"/>
  <c r="R334" i="1"/>
  <c r="X334" i="1" s="1"/>
  <c r="R335" i="1"/>
  <c r="X335" i="1" s="1"/>
  <c r="R336" i="1"/>
  <c r="X336" i="1" s="1"/>
  <c r="R337" i="1"/>
  <c r="X337" i="1" s="1"/>
  <c r="R338" i="1"/>
  <c r="X338" i="1" s="1"/>
  <c r="R339" i="1"/>
  <c r="X339" i="1" s="1"/>
  <c r="R340" i="1"/>
  <c r="X340" i="1" s="1"/>
  <c r="R341" i="1"/>
  <c r="X341" i="1" s="1"/>
  <c r="R342" i="1"/>
  <c r="X342" i="1" s="1"/>
  <c r="R2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</calcChain>
</file>

<file path=xl/sharedStrings.xml><?xml version="1.0" encoding="utf-8"?>
<sst xmlns="http://schemas.openxmlformats.org/spreadsheetml/2006/main" count="2340" uniqueCount="730">
  <si>
    <t>תאור</t>
  </si>
  <si>
    <t>קופסא</t>
  </si>
  <si>
    <t>Y</t>
  </si>
  <si>
    <t>N</t>
  </si>
  <si>
    <t xml:space="preserve">מנטוס פירות 40 גלילים  </t>
  </si>
  <si>
    <t>MENTOS CANDY FRUIT37.5G*40ROLLS</t>
  </si>
  <si>
    <t xml:space="preserve">מנטוס תות 40 גלילים  </t>
  </si>
  <si>
    <t>MENTOS CANDY STRAWBERRY37.5G*40ROLLS</t>
  </si>
  <si>
    <t xml:space="preserve">מנטוס ריינבואו 40 גלילים  </t>
  </si>
  <si>
    <t>MENTOS CANDY RAINBOW37.5G*40ROLLS</t>
  </si>
  <si>
    <t xml:space="preserve">מנטוס פנטה 40 גלילים  </t>
  </si>
  <si>
    <t>MENTOS FANTA 37.5G*40ROLLS</t>
  </si>
  <si>
    <t>מנטוס דיסקברי 40 גלילים</t>
  </si>
  <si>
    <t>MENTOS DISCOVERY 37.5G *40ROLLS</t>
  </si>
  <si>
    <t>מיני מנטוס שקית</t>
  </si>
  <si>
    <t>MINI MENTOS CANDY FRUIT MIX20BAGS178G</t>
  </si>
  <si>
    <t>יחידה</t>
  </si>
  <si>
    <t>מיני מנטוס 150יח' בצילינדר</t>
  </si>
  <si>
    <t>MINI MENTOS CYLINDER150PCS</t>
  </si>
  <si>
    <t>מארז</t>
  </si>
  <si>
    <t>מנטוס שקית מסיבה 430 גרם</t>
  </si>
  <si>
    <t>MENTOS PARTY BAG 430 G</t>
  </si>
  <si>
    <t>מנטוס שמחות 100סוכריות בשקית  מנטה</t>
  </si>
  <si>
    <t>MENTOS PILLOW PACK 100PCS MINT</t>
  </si>
  <si>
    <t>מנטוס שמחות 100סוכריות בשקית תות</t>
  </si>
  <si>
    <t>MENTOS PILLOW PACK 100PCS STRA</t>
  </si>
  <si>
    <t xml:space="preserve">מנטוס מנטה 1/4  </t>
  </si>
  <si>
    <t>MENTOS CANDY MINT4ROLLS*37.5G</t>
  </si>
  <si>
    <t xml:space="preserve">מנטוס פירות 1/4  </t>
  </si>
  <si>
    <t>MENTOS CANDY FRUIT4ROLLS*37.5G</t>
  </si>
  <si>
    <t xml:space="preserve">מנטוס תות 1/4  </t>
  </si>
  <si>
    <t>MENTOS CANDY STRAWBERRY4ROLLS*37.5G</t>
  </si>
  <si>
    <t xml:space="preserve">מנטוס ריינבואו 1/4  </t>
  </si>
  <si>
    <t xml:space="preserve"> MENTOS RAINBOW 4PACK</t>
  </si>
  <si>
    <t>מנטוס דיסקברי 1/4</t>
  </si>
  <si>
    <t>MENTOS DISCOVERY 4ROLLS*37.5G</t>
  </si>
  <si>
    <t xml:space="preserve">מנטוס פנטה  1/4  </t>
  </si>
  <si>
    <t>MENTOS FANTA 4ROLLS*37.5G</t>
  </si>
  <si>
    <t>מנטוס מכונת ממתקים</t>
  </si>
  <si>
    <t>MENTOS DISPENSER</t>
  </si>
  <si>
    <t>פרוטלה תות 40 יח'</t>
  </si>
  <si>
    <t>FRUITELLA STRAW 40RLS</t>
  </si>
  <si>
    <t>פרוטלה פירות קיץ 40 יח'</t>
  </si>
  <si>
    <t>FRUITELLA SUMMER FRUITS 40RLS</t>
  </si>
  <si>
    <t>מנטוס תפזורת בשקית מנטה 160 גרם</t>
  </si>
  <si>
    <t>MENTOS DRAGEES MINT MIX 160</t>
  </si>
  <si>
    <t>מנטוס תפזורת בשקית פירות 160 גרם</t>
  </si>
  <si>
    <t>MENTOS DRAGEES FRUIT MIX 160</t>
  </si>
  <si>
    <t>שיפר שולחני מנטוס לכוורת</t>
  </si>
  <si>
    <t>DESK SHIPPER MENTOS KAVERET</t>
  </si>
  <si>
    <t>סטנד מגוון</t>
  </si>
  <si>
    <t>ערכת קיץ מנטוס 2025</t>
  </si>
  <si>
    <t>MENTOS MIX 2025</t>
  </si>
  <si>
    <t>פרוטלה פירות קיץ 135גרם</t>
  </si>
  <si>
    <t>FRUITTELLA SUMMER RFUIT 135G</t>
  </si>
  <si>
    <t>פרוטלה תות 135גרם</t>
  </si>
  <si>
    <t>FRUITTELLA STRAWBERRY 135G</t>
  </si>
  <si>
    <t>פרוטלה  מקלות 135גרם</t>
  </si>
  <si>
    <t>FRUITTELLA DUO STIX 135G</t>
  </si>
  <si>
    <t>פרוטלה דאמי 132גרם</t>
  </si>
  <si>
    <t>FRUITTELLA DUMMY MIX 132G</t>
  </si>
  <si>
    <t>(BREATH) מנטוס לל"ס קלין ברט' מנטה 12יח</t>
  </si>
  <si>
    <t>MENTOS SF CLEAN BREATH MINT</t>
  </si>
  <si>
    <t>(BREATH) מנטוס לל"ס קלין ברט' מנטה עדינה 12יח</t>
  </si>
  <si>
    <t>MENTOS SF CLEAN BREATH MILD MINT</t>
  </si>
  <si>
    <t>(BREATH) מנטוס לל"ס קלין ברט'פירות יער 12יח</t>
  </si>
  <si>
    <t>MENTOS SF CLEAN BREATH WILDBERRIES</t>
  </si>
  <si>
    <t>מנטוס לל"ס קלין ברט' סטנד דלפקי</t>
  </si>
  <si>
    <t>MENTOS SF CLEAN BREATH COUNTER DISPLAY</t>
  </si>
  <si>
    <t>מנטוס קלין ברט' מנטה 90X8 XLג</t>
  </si>
  <si>
    <t>MENTOS SF CLEAN BREATH XL MINT 8X90G</t>
  </si>
  <si>
    <t>מנטוס קלין ברט' פירות יער 90X8 XLג</t>
  </si>
  <si>
    <t>MENTOS SF CLEAN BREATH XL MINT BERRY 8X90G</t>
  </si>
  <si>
    <t>מנטוס קלין ברט' מנטה עדינה 90X8 XLג</t>
  </si>
  <si>
    <t>MENTOS SF CLEAN BREATH XL WINTERGREEN 8X90G</t>
  </si>
  <si>
    <t>מנטוס מסטיק חמוץ תות 6יח'</t>
  </si>
  <si>
    <t>SOUR MENTOS STRAW 6PCS</t>
  </si>
  <si>
    <t>מנטוס מסטיק חמוץ תפוח 6יח'</t>
  </si>
  <si>
    <t>SOUR MENTOS APPLE 6PCS</t>
  </si>
  <si>
    <t>מסטיק ביג בקבוק*6 מעוגל ספרמנט</t>
  </si>
  <si>
    <t>MENTOS GUM SPEARMINT BIG MICHELIN BOTTLE</t>
  </si>
  <si>
    <t>מסטיק ביג בקבוק*6 מעוגל בבלפרש</t>
  </si>
  <si>
    <t>MENTOS GUM BUBBLEFRESH BIG MICHELIN BOTTLE</t>
  </si>
  <si>
    <t>מסטיק ביג בקבוק*6 מעוגל מנטה</t>
  </si>
  <si>
    <t>MENTOS GUM FRESHMINT BIG MICHELIN BOTTLE</t>
  </si>
  <si>
    <t xml:space="preserve">מסטיק ביג אבטיח6Xבק' מעוגל </t>
  </si>
  <si>
    <t>MENTOS GUM RAMZOR BIG MICHELIN BOTTLE</t>
  </si>
  <si>
    <t xml:space="preserve">מסטיק ביג תות6Xבק' מעוגל </t>
  </si>
  <si>
    <t>MENTOS GUM STRAWBERRY BIG MICHELIN BOTTLE</t>
  </si>
  <si>
    <t>מנטוס ל"פ פיור וויט XXL 6יח סוויטמינט</t>
  </si>
  <si>
    <t>MENTOS PURE WHITE XXL 6PCS SEETMINT</t>
  </si>
  <si>
    <t>מנטוס ל"פ פיור וויט XXL 6יח פפרמינט</t>
  </si>
  <si>
    <t>MENTOS PURE WHITE XXL 6PCS PEPPERMINT</t>
  </si>
  <si>
    <t>מנטוס ל"פ פיור וויט XXL 6יח ספרמינט</t>
  </si>
  <si>
    <t>MENTOS PURE WHITE XXL 6PCS SPEARRMINT</t>
  </si>
  <si>
    <t>מנטוס פיור וויט 90ג 6יח סוויטמינט</t>
  </si>
  <si>
    <t>MENTOS PURE WHITE 90G 6PCS SWEETMINT</t>
  </si>
  <si>
    <t>מנטוס פיור וויט 90ג 6יח פפרמינט</t>
  </si>
  <si>
    <t>MENTOS PURE WHITE 90G 6PCS PEPERMINT</t>
  </si>
  <si>
    <t>מנטוס פיור וויט 90ג 6יח ספרמינט</t>
  </si>
  <si>
    <t>MENTOS PURE WHITE 90G 6PCS SPEARMINT</t>
  </si>
  <si>
    <t>מנטוס ל"פ וויט סוויטמינט 6 צנצנות</t>
  </si>
  <si>
    <t>MENTOS WHITE SF GUM SWEETMINT 6 JARS</t>
  </si>
  <si>
    <t>מנטוס ל"פ וויט ספירמנט 6 צנצנות</t>
  </si>
  <si>
    <t>MENTOS WHITE SF GUM SPEARMINT 6 JARS</t>
  </si>
  <si>
    <t>מנטוס ל"פ וויט תותי פרוטי 6 צנצנות</t>
  </si>
  <si>
    <t>MENTOS WHITE SF GUM FRUIT MINT 6 JARS</t>
  </si>
  <si>
    <t>מנטוס ל"פ וויט אקליפטוס 6 צנצנות</t>
  </si>
  <si>
    <t>MENTOS WHITE SF GUM BREEZEMINT 6 JARS</t>
  </si>
  <si>
    <t>מנטוס פיור וויט מנטה 6 צנצנות</t>
  </si>
  <si>
    <t>MENTOS PURE WHITE SF GUM PPRMINT 6 JARS</t>
  </si>
  <si>
    <t>מנטוס פיור וויט מנטה עדינה 6 צנצנות</t>
  </si>
  <si>
    <t>MENTOS PURE WHITE SF GUM SPRMNT 6 JARS</t>
  </si>
  <si>
    <t>מנטוס פיור וויט מנטה מתוקה 6 צנצנות</t>
  </si>
  <si>
    <t>MENTOS PURE WHITE SF GUM SWEETMINT 6 JARS</t>
  </si>
  <si>
    <t>מנטוס פיור וויט פירות מנטה 6 צנצנות</t>
  </si>
  <si>
    <t>MENTOS PURE WHITE SF GUM TUTTIFRUITY 6 JARS</t>
  </si>
  <si>
    <t>מנטוס ל"פ בבקבוק פירות מנטה6</t>
  </si>
  <si>
    <t>MENTOS FRUIT MINT 6 JARS MEDIUM</t>
  </si>
  <si>
    <t>מנטוס ל"פ בבקבוק ספירמינט6</t>
  </si>
  <si>
    <t>MENTOS SPEARMINT 6 JARS MEDIUM</t>
  </si>
  <si>
    <t>מנטוס ל"פ בבקבוק מנטה6</t>
  </si>
  <si>
    <t>MENTOS MINT 6 JARS MEDIUM</t>
  </si>
  <si>
    <t>מנטוס ל"פ בבקבוק פירות אדומים וליים6</t>
  </si>
  <si>
    <t>MENTOS RED FRUITS LIME 6 JARS MEDIUM</t>
  </si>
  <si>
    <t xml:space="preserve">מנטוס פיורפרש ענב ירוק6X בק' מעוגל </t>
  </si>
  <si>
    <t>MENTOS PF GR GRAPES MICHELIN BOTTLE</t>
  </si>
  <si>
    <t>מנטוס ל"פ בבקבוק מנטה אקליפט 6יח</t>
  </si>
  <si>
    <t>MENTOS EUCALYTUS 6 JARS MEDIUM</t>
  </si>
  <si>
    <t xml:space="preserve">מנטוס פיורפרש  דובדבן6X בק' מעוגל </t>
  </si>
  <si>
    <t>MENTOS PF  CHERRY MICHELIN BOTTLE</t>
  </si>
  <si>
    <t xml:space="preserve">מנטוס פיורפרש ענבים 6X בק' מעוגל </t>
  </si>
  <si>
    <t>MENTOS PF GRAPE MICHELIN BOTTLE</t>
  </si>
  <si>
    <t xml:space="preserve">מנטוס פיורפרש פרוסט מנטה חזקה6X בק' מעוגל </t>
  </si>
  <si>
    <t>MENTOS PFFROST STRONG MINT MICHELIN BOTTLE</t>
  </si>
  <si>
    <t xml:space="preserve">מנטוס בבלפרש6X בק' מעוגל </t>
  </si>
  <si>
    <t>MENTOS GUM BUBBLEFRESH MEDIUM MICHELIN BOTTLE</t>
  </si>
  <si>
    <t xml:space="preserve">מנטוס ספרמינט6X בק' מעוגל </t>
  </si>
  <si>
    <t>MENTOS SPEARMINT BOTTLE X6</t>
  </si>
  <si>
    <t xml:space="preserve">מנטוס מנטה6X בק' מעוגל </t>
  </si>
  <si>
    <t>MENTOS GUM FRESHMINT MEDIUM MICHELIN BOTTLE</t>
  </si>
  <si>
    <t xml:space="preserve">מנטוס אבטיח6X בק' מעוגל </t>
  </si>
  <si>
    <t>MENTOS GUM RAMZOR MEDIUM MICHELIN BOTTLE</t>
  </si>
  <si>
    <t xml:space="preserve">מנטוס תות שדה6X בק' מעוגל </t>
  </si>
  <si>
    <t>MENTOS GUM STRAWBERRY MEDIUM MICHELIN BOTTLE</t>
  </si>
  <si>
    <t xml:space="preserve">מנטוס ל"פ טרופי 6X בק' מעוגל </t>
  </si>
  <si>
    <t>MENTOS GUM TROPICAL MEDIUM MICHELIN BOTTLE</t>
  </si>
  <si>
    <t xml:space="preserve">מנטוס ל"פ לימון 6Xבק' מעוגל </t>
  </si>
  <si>
    <t>MENTOS GUMLEMON MEDIUM MICHELIN BOTTLE</t>
  </si>
  <si>
    <t>סטנד ל"פ דלפקי מלא למנטוס מסטיק בקבוק מעוגל</t>
  </si>
  <si>
    <t>MENTOS GIM</t>
  </si>
  <si>
    <t>סטנד ל"פ רצפתי מלא למנטוס מסטיק בקבוק מעוגל*108</t>
  </si>
  <si>
    <t>MENTOS GUM MEDIUM MICHELIN</t>
  </si>
  <si>
    <t>מנטוס ננו מעוגל מנטה 240בקבוקונים</t>
  </si>
  <si>
    <t>MENTOS GUM FRESHMINT NANO MICHELIN 240 BOTTLES</t>
  </si>
  <si>
    <t>קרטון</t>
  </si>
  <si>
    <t>מנטוס ננו מעוגל ספרמינט 240בקבוקונים</t>
  </si>
  <si>
    <t>MENTOS GUM SPEARMINT NANO MICHELIN 240 BOTTLES</t>
  </si>
  <si>
    <t>מנטוס ננו מעוגל באבלפרש 240בקבוקונים</t>
  </si>
  <si>
    <t>MENTOS GUM BUBBLEFRESH NANO MICHELIN 240 BOTTLES</t>
  </si>
  <si>
    <t>מנטוס ננו מעוגל תות 240בקבוקונים</t>
  </si>
  <si>
    <t>MENTOS GUMSTRAWBERRY NANO MICHELIN 240 BOTTLES</t>
  </si>
  <si>
    <t>מנטוס נאנו בצילינדר 30 יחידות</t>
  </si>
  <si>
    <t>MENTOS NANO CYLINDER80 PCS</t>
  </si>
  <si>
    <t>מנטוס נאנו 8יח' מנטה</t>
  </si>
  <si>
    <t>MENTOS NANO 8PCS MINT</t>
  </si>
  <si>
    <t>מנטוס נאנו 8יח' ספרמינט</t>
  </si>
  <si>
    <t>MENTOS NANO 8PCS SPMINT</t>
  </si>
  <si>
    <t>מנטוס נאנו 8יח' תות</t>
  </si>
  <si>
    <t>MENTOS NANO 8PCS STRAWBERRY</t>
  </si>
  <si>
    <t>מנטוס נאנו 8יח' באבלפרש</t>
  </si>
  <si>
    <t>MENTOS NANO 8PCS BUBBLEFRESH</t>
  </si>
  <si>
    <t>6X מנטוס ויטמין בטעם הדרים</t>
  </si>
  <si>
    <t>MENTOS CG CITRUS X6</t>
  </si>
  <si>
    <t>6X מנטוס ויטמין בטעם פירות יער</t>
  </si>
  <si>
    <t>MENTOS CG WOODBERRIES  X6</t>
  </si>
  <si>
    <t>סטנד מסטיק מנטוס מלא 240 יח'</t>
  </si>
  <si>
    <t>MENTOS MIX NEW CG</t>
  </si>
  <si>
    <t>מיני מנטוס475ק"ג ט"ש</t>
  </si>
  <si>
    <t xml:space="preserve">MINI MENTOS 475KG </t>
  </si>
  <si>
    <t>קילוגרם</t>
  </si>
  <si>
    <t>מנטוס 5 ק"ג</t>
  </si>
  <si>
    <t>MENTOS 5KG</t>
  </si>
  <si>
    <t>פרוטלה דאמיס תות 180קג</t>
  </si>
  <si>
    <t>FRUITELLA DUMMIES STRAWBERRY 180KG</t>
  </si>
  <si>
    <t>צילינדר פרוטלה דאמיס 70יח</t>
  </si>
  <si>
    <t>FRUITELLA DUMMIES 70PCS</t>
  </si>
  <si>
    <t>מנטוס מנטה PILLOW 257קג</t>
  </si>
  <si>
    <t>MENTOS MINTPILLOW PACK 257KG</t>
  </si>
  <si>
    <t>מנטוס תות PILLOW 257קג</t>
  </si>
  <si>
    <t>MENTOS STRAW PILLOW PACK 257KG</t>
  </si>
  <si>
    <t>צ'ופה גלגל 200 לקקנים חותמת כשרות</t>
  </si>
  <si>
    <t>CHUPA WHEEL 200 LOLLIPOPS KOSHER STAMPED</t>
  </si>
  <si>
    <t>צ'ופה גלגל+2 שקיות מילוי</t>
  </si>
  <si>
    <t>CHUPA CHUPS LOLLIPOPS WHEEL+2REFILL BAGS</t>
  </si>
  <si>
    <t>ליפטון תה שחור 100שקיקים/150גר'</t>
  </si>
  <si>
    <t>LIPTON BLACK TEA 100BAGS/150G</t>
  </si>
  <si>
    <t>ליפטון ל"פ תה שחור כשר לפסח 100שקיקים/150גר'</t>
  </si>
  <si>
    <t>LIPTON BLACK TEA 100BAGS/150G KOS.PAS</t>
  </si>
  <si>
    <t>ליפטון ל"פ תה שחור 20מעטפות/30גרם</t>
  </si>
  <si>
    <t>LIPTON BLACK TEA 20ENVE/30G</t>
  </si>
  <si>
    <t>ליפטון תה שחור 25 מעטפות/37.5גרם</t>
  </si>
  <si>
    <t>LIPTON YELLOW LABEL 25</t>
  </si>
  <si>
    <t>ליפטון ל"פ ארל גריי 25 שקיות 50גר'</t>
  </si>
  <si>
    <t>LIPTON EARL GREY 50BAGS 50G</t>
  </si>
  <si>
    <t>ליפטון ארל גריי ל"פ 100 שקיות 200גר'</t>
  </si>
  <si>
    <t>LIPTON EARL GREY 100BAGS 200G</t>
  </si>
  <si>
    <t>ליפטון ל"פ ארל גריי 25 מעטפות 40גר'</t>
  </si>
  <si>
    <t>LIPTON EARL GREY 25ENV 40G</t>
  </si>
  <si>
    <t>ליפטון ל"פ ארל גריי 100 שקיקים 160גר'</t>
  </si>
  <si>
    <t>LIPTON EARL GREY 100ENV 160G</t>
  </si>
  <si>
    <t>ליפטון ארל גריי25 מעטפות 40גר'</t>
  </si>
  <si>
    <t>LIPTON EARL GREY 25ENV 40G NOT YET</t>
  </si>
  <si>
    <t>ליפטון ארל גריי 100 (עיצוב חדש) 160גר'</t>
  </si>
  <si>
    <t>LIPTON EARL GREY 100ENV 160G NEW DESIGN</t>
  </si>
  <si>
    <t>ליפטון ל"פ תה ירוק קלסי 50שקיות 75גרם</t>
  </si>
  <si>
    <t>LIPTON CLASSIC GREEN TEA 50BAGS 75G</t>
  </si>
  <si>
    <t>ליפטון תה ירוק קלסי 100שקיקים</t>
  </si>
  <si>
    <t>LIPTON CLASSIC GREEN TEA 100BAGS</t>
  </si>
  <si>
    <t>ליפטון ל"פ תה ירוק קלסי 20שקיות 30גרם</t>
  </si>
  <si>
    <t>LIPTON CLASSIC GREEN TEA 20BAGS 30G</t>
  </si>
  <si>
    <t>ליפטון תה ירוק קלסי 20מעט'26גרם</t>
  </si>
  <si>
    <t>LIPTON CLASSIC GREEN TEA 20BAGS 26G</t>
  </si>
  <si>
    <t>ליפטון ל"פ תה ירוק אוריינט 20מעט'26גרם</t>
  </si>
  <si>
    <t>LIPTON ORIENT GREEN TEA 20BAGS 26G</t>
  </si>
  <si>
    <t>ליפטון ל"פ תה ירוק לואיזה לימונית  20שקיות 30גרם</t>
  </si>
  <si>
    <t>LIPTON CLASSIC GREEN TEA LOUISA LEMONGRASS 20BAGS30G</t>
  </si>
  <si>
    <t>ליפטון ל"פ תה ירוק נענע מרו' 20שקיות 36גרם</t>
  </si>
  <si>
    <t>LIPTON CLASSIC GREEN TEA MAROC.MINT.20BAGS 36G</t>
  </si>
  <si>
    <t>ליפטון ל"פ תה ירוק הדרים 20מעט'26גרם</t>
  </si>
  <si>
    <t>LIPTON CITRUS GREEN TEA 20BAGS 26G</t>
  </si>
  <si>
    <t>ליפטון תה ירוק נענע 20מעט'</t>
  </si>
  <si>
    <t>LIPTON CLASSIC GREEN TEA 20BAGS MINT</t>
  </si>
  <si>
    <t>ליפטון ל"פ זוג תה ירוק קלסי 100שקיקים</t>
  </si>
  <si>
    <t>LIPTON CLASSIC GREEN TEA 100BAGSX2</t>
  </si>
  <si>
    <t>ליפטון ל"פ תה ירוק קלסי 20שקיות 30גרם ברקוד חדש</t>
  </si>
  <si>
    <t>LIPTON CLASSIC GREEN TEA 20BAGS 30G NBC</t>
  </si>
  <si>
    <t>ליפטון תה ירוק נענע 20 פירמידות</t>
  </si>
  <si>
    <t>LIPTON GREEN INTENSE MINT 20PYT</t>
  </si>
  <si>
    <t>ליפטון תה ירוק לימון מליסה 20 פירמידות</t>
  </si>
  <si>
    <t>LIPTON GREEN LEMON MELISSA 20PYTX</t>
  </si>
  <si>
    <t>ליפטון חליטת קמומיל 20 פירמידות</t>
  </si>
  <si>
    <t>LIPTON INF CAMOMILLE 20PYTX</t>
  </si>
  <si>
    <t>ליפטון חליטת תפוח קינמון 20 פירמידות</t>
  </si>
  <si>
    <t>LIPTON APPLE CINNAMON 20PYTX</t>
  </si>
  <si>
    <t>ליפטון חליטה בסגנון מרוקאי 20 פירמידות</t>
  </si>
  <si>
    <t>LIPTON MOROCCO 20PYTX</t>
  </si>
  <si>
    <t>ליפטון חליטת לימון וג'ינג'ר 20 פירמידות</t>
  </si>
  <si>
    <t>LIPTON INF LEMON GINGER 20PYTX</t>
  </si>
  <si>
    <t>ערכת ל"פ ליפטון עם פירמידות חורף 2025</t>
  </si>
  <si>
    <t>LIPTON MIX 2025 WZ PYRAMIDS</t>
  </si>
  <si>
    <t>ערכת ל"פ ליפטון חורף 2025</t>
  </si>
  <si>
    <t>LIPTON MIX 2025</t>
  </si>
  <si>
    <t>ערכת ליפטון פירמידה קד"מ</t>
  </si>
  <si>
    <t>LIPTON MIX PROMO</t>
  </si>
  <si>
    <t>בראוניז שוקולד 200גרם</t>
  </si>
  <si>
    <t>BROWNIES CHOCOLATE 200G</t>
  </si>
  <si>
    <t>בראוניז שוקצ'יפס 200גרם</t>
  </si>
  <si>
    <t>BROWNIES CHOCOCHIPS 200G</t>
  </si>
  <si>
    <t>בראוניז שוקולד לבן 200גרם</t>
  </si>
  <si>
    <t>BROWNIES WHITE CHOCOLATE 200G</t>
  </si>
  <si>
    <t>בראוניז שוקולד קרמל 200גרם</t>
  </si>
  <si>
    <t>BROWNIES CARAMEL CHOCOLATE 200G</t>
  </si>
  <si>
    <t>בראוניז שוקולד גול 200גרם</t>
  </si>
  <si>
    <t>BROWNIES GOL CHOCOLATE 200G</t>
  </si>
  <si>
    <t>בראוניז שוקולד 40יח' 1 ק"ג</t>
  </si>
  <si>
    <t>BROWNIES CHOCOLATE 1KG 40PCS</t>
  </si>
  <si>
    <t>12Xבראוני שוקולד זוג 50גרם</t>
  </si>
  <si>
    <t>BROWNIE CHOCOLATE DOUBLE 50GX12</t>
  </si>
  <si>
    <t>12Xבראוני שוק'צ'יפס זוג 50גרם</t>
  </si>
  <si>
    <t>BROWNIE CHOCCHIPS DOUBLE 50GX12</t>
  </si>
  <si>
    <t>בראוניז שוקולד ללא גלוטן 150גרם</t>
  </si>
  <si>
    <t>BROWNIES GF CHOCOLATE 150G</t>
  </si>
  <si>
    <t>פרוט ביי דה פוט פ.יער משפחתי (לפי 8 בקרטון)</t>
  </si>
  <si>
    <t>FRUIT BY THE FOOT WILD BER FAM P (8 PER CASE)</t>
  </si>
  <si>
    <t>פרוט ביי דה פוט ט"ש משפחתי (לפי 8 בקרטון)</t>
  </si>
  <si>
    <t>FRUIT BY THE FOOT SELECTION FAM P BY 8</t>
  </si>
  <si>
    <t>פרוט ביי דה פוט פ.יער 1/5</t>
  </si>
  <si>
    <t>FRUIT BY THE FOOT WILD BER1/5</t>
  </si>
  <si>
    <t>פרוט  ביי דה פוט ט"ש 1/5</t>
  </si>
  <si>
    <t>FRUIT BY THE FOOT SELECTION 1/5</t>
  </si>
  <si>
    <t>גאשרס פירות טרופים 1/6 לא למכירה</t>
  </si>
  <si>
    <t>GUSHERS TRPF 1/6 NOT FOR SALE</t>
  </si>
  <si>
    <t>גאשרס פירות טרופיים 1/5</t>
  </si>
  <si>
    <t>GUSHERS TRPLF 1/5</t>
  </si>
  <si>
    <t>פילסברי בראוניס ללא גלוטן</t>
  </si>
  <si>
    <t>MIX BROWNIES GF</t>
  </si>
  <si>
    <t>פילסברי שוקולד תערובת (לפי 6 )</t>
  </si>
  <si>
    <t>CHOCOLATE CAKE MIX BY 6</t>
  </si>
  <si>
    <t>פילסברי שיש תערובת לעוגה (לפי 6)</t>
  </si>
  <si>
    <t>SWIRL CAKE MIX BY 6</t>
  </si>
  <si>
    <t xml:space="preserve">פילסברי וניל תערובת  (לפי 6  ) </t>
  </si>
  <si>
    <t>VANILLA CAKE MIX BY 6</t>
  </si>
  <si>
    <t>פילסברי בראוניז תערובת (לפי 6)</t>
  </si>
  <si>
    <t>BROWNIE CAKE MIX BY 6</t>
  </si>
  <si>
    <t xml:space="preserve">פילסברי פנקייק  (לפי 6)   </t>
  </si>
  <si>
    <t>PANCAKE MIX BY 6</t>
  </si>
  <si>
    <t>קרם ציפוי בטעם שוקולד פילסברי</t>
  </si>
  <si>
    <t>CHOCOLATE FL. ICING PHILSBURY</t>
  </si>
  <si>
    <t>קרם ציפוי בטעם וניל פילסברי</t>
  </si>
  <si>
    <t>VANILLA FL. ICING PHILSBURY</t>
  </si>
  <si>
    <t>חטיף 1/5 מייפל וסוכר חום</t>
  </si>
  <si>
    <t>CRUNCHY 1/5 MAPLE&amp;BR SUG</t>
  </si>
  <si>
    <t>חטיף ל"פ 1/5 קנמון</t>
  </si>
  <si>
    <t>CRUNCHY 1/5 CINNAMON</t>
  </si>
  <si>
    <t>חטיף 1/5 שבולת שועל ודבש</t>
  </si>
  <si>
    <t>CRUNCHY 1/5 OATS&amp;H GRANOLA</t>
  </si>
  <si>
    <t>חטיף 1/5 בריאות מעורב</t>
  </si>
  <si>
    <t>CRNUCHY 1/5 MIX.ASSORT.</t>
  </si>
  <si>
    <t xml:space="preserve">חטיף ש"ש ושוק' מריר1/5 </t>
  </si>
  <si>
    <t>CRUNCHY 1/5 BTSW OATS</t>
  </si>
  <si>
    <t>חטיף 1/5 שבבי שוקולד חלב</t>
  </si>
  <si>
    <t>CRNUCHY 1/5 MILK CHOCOLATE CHIPS</t>
  </si>
  <si>
    <t>חטיף 18יח מייפל וסוכר חום</t>
  </si>
  <si>
    <t>CRUNCHY MAPLE&amp;BROWN SUGAR SNACK18PCS</t>
  </si>
  <si>
    <t>חטיף 18יח שבולת שועל ודבש</t>
  </si>
  <si>
    <t>CRUNCHY OATS&amp;HONEY SNACK18PCS</t>
  </si>
  <si>
    <t xml:space="preserve">חטיף 18יח קראנצ'י שוקולד </t>
  </si>
  <si>
    <t>CRUNCHY 18PC CHOCOLATE</t>
  </si>
  <si>
    <t>צ'ואי בטנים בציפוי חמאת בטנים1/5</t>
  </si>
  <si>
    <t>CHEWY 1/5 PNUS PEANUTS BUTTER. COVER</t>
  </si>
  <si>
    <t>צ'ואי שוק' ובטנים בציפוי שוקולד1/5</t>
  </si>
  <si>
    <t>CHEWY 1/5 PNUS&amp;CHOC. CHOC. COVER</t>
  </si>
  <si>
    <t>נייטשר פרוטאין שוקולד 1/4</t>
  </si>
  <si>
    <t>NATURE VALLEY PROTEIN 1/4</t>
  </si>
  <si>
    <t>נייטשר פרוטאין קרמל מלוח 1/4</t>
  </si>
  <si>
    <t>NATURE VALLEY PROTEIN SALTED CARAMEL1/4</t>
  </si>
  <si>
    <t>לואקר חצי מטר .2026</t>
  </si>
  <si>
    <t>LOACKER 50CM 2026</t>
  </si>
  <si>
    <t>וופל שוקולד 25גר25Xיח' לפי 6 בקרטון</t>
  </si>
  <si>
    <t>COCOA 25GX25 WAFERS BY 6</t>
  </si>
  <si>
    <t>לואקר קלס' מיניס 10ג400X אגוז</t>
  </si>
  <si>
    <t>BITT CH.LOACKER 10X400NUT</t>
  </si>
  <si>
    <t>לואקר קלס' מיניס 10ג400X קקאו</t>
  </si>
  <si>
    <t>BITT CH.LOACKER 10X400CACAO</t>
  </si>
  <si>
    <t>לואקר מיניס אגוז פרווה 430יח10Xג</t>
  </si>
  <si>
    <t>LOACKER MINI PAREVE 10GX430 HAZELNUTS</t>
  </si>
  <si>
    <t>לואקר מיניס קקאו פרווה 430יח10Xג</t>
  </si>
  <si>
    <t>LOACKER MINI PAREVE 10GX430 CHOC</t>
  </si>
  <si>
    <t xml:space="preserve">טורטינה 1/3   </t>
  </si>
  <si>
    <t>GR PASTICCERIA TORTINA21GX3</t>
  </si>
  <si>
    <t>טורטינה 1/3 לבן</t>
  </si>
  <si>
    <t>GR PASTICC.TORTINA21GX3WHITE</t>
  </si>
  <si>
    <t>טורטינה 1/6 לבן</t>
  </si>
  <si>
    <t>GR PASTICC TORTINA21GX6WHITE</t>
  </si>
  <si>
    <t>טורטינה 1/6 קרמל</t>
  </si>
  <si>
    <t>TORTINA CARAMEL 1/6</t>
  </si>
  <si>
    <t xml:space="preserve">טורטינה 1/6 חדש  </t>
  </si>
  <si>
    <t>GR PASTICC TORTINA21GX6</t>
  </si>
  <si>
    <t xml:space="preserve">טורטינה טריפל 1/6 125גר'  </t>
  </si>
  <si>
    <t>TORTINA TRIPPLE 1/6</t>
  </si>
  <si>
    <t xml:space="preserve">טורטינה 1/6 מריר  </t>
  </si>
  <si>
    <t>GR PASTICC TORTINA21GX6DARK NOIR</t>
  </si>
  <si>
    <t>(9Xטורטינה תשיעיה (21גרם</t>
  </si>
  <si>
    <t>TORTINA 9X21G</t>
  </si>
  <si>
    <t>דולומיטים מגוון 150 ג'</t>
  </si>
  <si>
    <t>LOACKER ROSE OF THE DOLOMITES SELECTION 150GX12</t>
  </si>
  <si>
    <t>דולומיטים חלב 150גר</t>
  </si>
  <si>
    <t>ROSE OF DOLOMITES 150G</t>
  </si>
  <si>
    <t>לואקר מיניס טעמים שונים 150גרם</t>
  </si>
  <si>
    <t>LOA MINIS MIX 150G</t>
  </si>
  <si>
    <t>לואקר אגוז 175 גרם (ב-18)</t>
  </si>
  <si>
    <t>LOA NAPOLITANER 175G</t>
  </si>
  <si>
    <t xml:space="preserve">לואקר חלב 175גר' (ב-18)  </t>
  </si>
  <si>
    <t>LOACKER MILK 175G</t>
  </si>
  <si>
    <t xml:space="preserve">לואקר שוקולד 175גר'(ב-18)  </t>
  </si>
  <si>
    <t>LOACKER CREKAO 175G</t>
  </si>
  <si>
    <t xml:space="preserve">לואקר שוקו-חלב 175גר' (ב-18)  </t>
  </si>
  <si>
    <t>LOACKER COCOA+ MILK 175G</t>
  </si>
  <si>
    <t xml:space="preserve">לואקר דאבל שוקולד 175גר'(ב-18)  </t>
  </si>
  <si>
    <t>LOACKER DOUBLE CHOC. 175G</t>
  </si>
  <si>
    <t>לואקר  אגוז 262.5 גרם</t>
  </si>
  <si>
    <t>LOA NAPOLITANER 262.5</t>
  </si>
  <si>
    <t>לואקר שוקולד 262.5 גרם</t>
  </si>
  <si>
    <t>LOA CREMCACO 262.5</t>
  </si>
  <si>
    <t xml:space="preserve">לואקר 90גר'אגוז </t>
  </si>
  <si>
    <t>LOA NAPOLITANER 90G</t>
  </si>
  <si>
    <t>לואקר 90גר'קקאו</t>
  </si>
  <si>
    <t>LOA COCOA 90G</t>
  </si>
  <si>
    <t xml:space="preserve">קואדרטיני אגוז 125גרם  </t>
  </si>
  <si>
    <t>QUADRATINI N 125G</t>
  </si>
  <si>
    <t>קואדרטיני שוקולד 125גר'</t>
  </si>
  <si>
    <t>QUADRATINI CO 125G</t>
  </si>
  <si>
    <t xml:space="preserve">קואדרטיני שוקו-חלב  125גרם  </t>
  </si>
  <si>
    <t>QUADRATINI CACAO+MILK 125G</t>
  </si>
  <si>
    <t>קואדרטיני וניל 250גרם</t>
  </si>
  <si>
    <t>QUAD. VANILA 250G</t>
  </si>
  <si>
    <t xml:space="preserve">קואדרטיני אגוז 250גר'  </t>
  </si>
  <si>
    <t>QUAD. NAPOLITANER 250G</t>
  </si>
  <si>
    <t xml:space="preserve">קואדרטיני שוקולד 250גר'  </t>
  </si>
  <si>
    <t>QUADRATINI KAKAO 250G.</t>
  </si>
  <si>
    <t>קואדרטיני שוקו-חלב 250גרם</t>
  </si>
  <si>
    <t>QUADRATINI 250G COCOA+MILK</t>
  </si>
  <si>
    <t>קואדרטיני דאבל שוקולד 250גרם</t>
  </si>
  <si>
    <t>QUADRATINI DOUBLE CHOCOLATE 250G</t>
  </si>
  <si>
    <t>קואדרטיני טרמיסו</t>
  </si>
  <si>
    <t>QUAD. TIRAMISU 220G</t>
  </si>
  <si>
    <t xml:space="preserve">קואדרטיני שוק מריר 250גר'  </t>
  </si>
  <si>
    <t>QUADRATINI BITTERSWEET CHOC</t>
  </si>
  <si>
    <t>קואדרטיני תות 250גרם</t>
  </si>
  <si>
    <t>QUAD. STRAW 250G</t>
  </si>
  <si>
    <t>קואדרטיני לימון 250גרם</t>
  </si>
  <si>
    <t>QUAD. LEMON 250G</t>
  </si>
  <si>
    <t xml:space="preserve">וופל  שוקולד200גר'  </t>
  </si>
  <si>
    <t>LOACKER CHOCO 200G</t>
  </si>
  <si>
    <t xml:space="preserve">וופל וניל 200גר'  </t>
  </si>
  <si>
    <t>LOA MILK VANIL 200G</t>
  </si>
  <si>
    <t>לואקר ממרח אגוזים 290ג</t>
  </si>
  <si>
    <t>NAPOLITANER CREME 290G</t>
  </si>
  <si>
    <t>לואקר ממרח אגוזים קריספי 270ג</t>
  </si>
  <si>
    <t>NAPOLITANER CRISPY CREME 270G</t>
  </si>
  <si>
    <t>בלזן היט מיני קקאו 130גרם</t>
  </si>
  <si>
    <t>BAHLSEN HIT MINISCOCOA 130G</t>
  </si>
  <si>
    <t>בלזן היט מיני קרם חלב 130גרם</t>
  </si>
  <si>
    <t>BAHLSEN HIT MINI MILK CREAM 130G</t>
  </si>
  <si>
    <t>בלזן היט קקאו 134גרם</t>
  </si>
  <si>
    <t>BAHLSEN HIT COCOA 134G+</t>
  </si>
  <si>
    <t>בלזן היט קקאו 220גרם</t>
  </si>
  <si>
    <t>BAHLSEN HIT COCOA 220G</t>
  </si>
  <si>
    <t>בלזן היט וניל 220גרם</t>
  </si>
  <si>
    <t>BAHLSEN HIT VANIL220G</t>
  </si>
  <si>
    <t>בלזן היט קרמל מלוח 220גרם</t>
  </si>
  <si>
    <t>BAHLSEN HIT SALTY CARAMEL 220G</t>
  </si>
  <si>
    <t>בלזן ל"פ היט קוקוס 220גרם</t>
  </si>
  <si>
    <t>BAHLSEN HIT COCONUT220G</t>
  </si>
  <si>
    <t>פיקאפ מיני באלק 250יח</t>
  </si>
  <si>
    <t>BAHLSEN PICK UP MINI 250PC</t>
  </si>
  <si>
    <t>פיקאפ מיניס שוק'וחלב שקית 233XXL ג'</t>
  </si>
  <si>
    <t>BAHLSEN PICK UP CH&amp;M XXL 233G</t>
  </si>
  <si>
    <t>פיקאפ מיניס שוקולד שקית 233XXL ג'</t>
  </si>
  <si>
    <t>BAHLSEN PICK UP CHOCO XXL 233G</t>
  </si>
  <si>
    <t>פיקאפ מיניס 60יח' בצילינדר</t>
  </si>
  <si>
    <t>PICKUP MINIS 60PCS IN CYLINDER</t>
  </si>
  <si>
    <t>פיקאפ  חמישיה במילוי שוקולד 140גרם</t>
  </si>
  <si>
    <t>BAHLSEN PICK UP CHOCO MULTI5PACK</t>
  </si>
  <si>
    <t>פיקאפ ל"פ חמישיה במילוי שוקולד מריר 140גרם</t>
  </si>
  <si>
    <t>PICK UP DARK MULTI5PACK</t>
  </si>
  <si>
    <t>פיקאפ חמישיה במילוי שוקולד קרמל מלוח140גרם</t>
  </si>
  <si>
    <t>PICK UP SALTED CARAMEL MULTI5PACK</t>
  </si>
  <si>
    <t>פיקאפ חמישיה חדש שוקולד וחלב 140ג</t>
  </si>
  <si>
    <t>BAHLSEN PICK UP CHOCO&amp; MILK MULTI5PACK HT</t>
  </si>
  <si>
    <t>פיקאפ חמישיה חדש במילוי שוקולד 140גרם</t>
  </si>
  <si>
    <t>BAHLSEN PICK UP CHOCO MULTI5PACK NEW HT</t>
  </si>
  <si>
    <t>מורנפלייק שיבולת שועל בפחית 500גרם הכנה מהירה</t>
  </si>
  <si>
    <t>MORNFLAKES OATS 500G ONE MINUTE</t>
  </si>
  <si>
    <t xml:space="preserve">מורנפלייק שיבולת שועל שקית 500גרם </t>
  </si>
  <si>
    <t>MORNFLAKES OATS 500G IN A BAG</t>
  </si>
  <si>
    <t xml:space="preserve">מורנפלייק מוזלי פירות ואגוזים חדש 650גרם </t>
  </si>
  <si>
    <t>MORNFLAKE EXTRA CRISPY FAVOURITE FRUIT&amp;NUT650G</t>
  </si>
  <si>
    <t>מורנפלייק מוזלי נאטי 650גרם חדש</t>
  </si>
  <si>
    <t>MORNFLAKE EXTRA CRISPY NUTTY 650G NEW</t>
  </si>
  <si>
    <t>לוואצה קרמה גוסטו ריקוNCC אלומיניום12</t>
  </si>
  <si>
    <t>LAVAZZA CREMA GUSTO RICO NCC ALUMINIUM 12</t>
  </si>
  <si>
    <t>לוואצה קרמה גוסטו קלאסיקו NCC אלומיניום12</t>
  </si>
  <si>
    <t>LAVAZZA CREMA GUSTO CLASSICO NCC ALUMINIUM 12</t>
  </si>
  <si>
    <t>לוואצה קרמה גוסטו NCC אלומיניום 13</t>
  </si>
  <si>
    <t>LAVAZZA CREMA GUSTO NCC ALUMINIUM 13</t>
  </si>
  <si>
    <t>לוואצה נטול קפאין NCC אלומיניום 7</t>
  </si>
  <si>
    <t>LAVAZZA CAFEIN F NCC ALUMINIUM 7</t>
  </si>
  <si>
    <t>לוואצה רוסה NCC אלומיניום 10</t>
  </si>
  <si>
    <t>LAVAZZA ROSSA NCC ALUMINIUM 10</t>
  </si>
  <si>
    <t>לוואצה אורו NCC אלומיניום 8</t>
  </si>
  <si>
    <t>LAVAZZA ORO NCC ALUMINIUM 8</t>
  </si>
  <si>
    <t xml:space="preserve"> AMM5 לוואצה סואבה</t>
  </si>
  <si>
    <t xml:space="preserve">LAVAZZA AMM SOAVE </t>
  </si>
  <si>
    <t xml:space="preserve"> AMM6 לוואצה קרמה דולצ'ה</t>
  </si>
  <si>
    <t>LAVAZZA C.C.DOLCE  6</t>
  </si>
  <si>
    <t>לוואצה קרמוסו AMM7 נטול קפאין</t>
  </si>
  <si>
    <t>LAVAZZA AMM CREMOSA 7 DECAF</t>
  </si>
  <si>
    <t xml:space="preserve"> AMM11  לוואצה פסיונלה</t>
  </si>
  <si>
    <t>LAVAZZA AMM PASSIONALE 11</t>
  </si>
  <si>
    <t xml:space="preserve"> AMM8 לוואצה דליסיוזו</t>
  </si>
  <si>
    <t>LAVAZZA AMM DELIZIOSO  8</t>
  </si>
  <si>
    <t xml:space="preserve"> AMM13  לוואצה אינטנסו</t>
  </si>
  <si>
    <t>LAVAZZA AMM INTENSO 13</t>
  </si>
  <si>
    <t xml:space="preserve"> AMM 10 לוואצה רוסה</t>
  </si>
  <si>
    <t>LAVAZZA ROSSA 10 AMM</t>
  </si>
  <si>
    <t>לוואצה אורו AMM8 )לפי 16בקרטון)</t>
  </si>
  <si>
    <t>LAVAZZA ORO  INTENSO 8 (BY 16)</t>
  </si>
  <si>
    <t>לוואצה אינטנסו AMM 36 קפסולות</t>
  </si>
  <si>
    <t>LAVAZZA AMM INTENSO 36 CAPSULES</t>
  </si>
  <si>
    <t>לוואצה פסיונלה AMM 36 קפסולות</t>
  </si>
  <si>
    <t>LAVAZZA AMM PASSIONALE 36 CAPSULES</t>
  </si>
  <si>
    <t>לוואצה דליסיוזו AMM 36 קפסולות</t>
  </si>
  <si>
    <t>LAVAZZA AMM DELIZIOSO 36 CAPSULES</t>
  </si>
  <si>
    <t>לוואצה רוסה קלוי וטחון 250גרם</t>
  </si>
  <si>
    <t>LAVAZZA ROSA R&amp;G 250G</t>
  </si>
  <si>
    <t>לוואצה אורו קלוי וטחון 250גרם</t>
  </si>
  <si>
    <t>LAVAZZA ORO R&amp;G 250G</t>
  </si>
  <si>
    <t>לוואצה נטול קופאין קלוי וטחון 250גרם</t>
  </si>
  <si>
    <t>LAVAZZA DECAF R&amp;G 250G</t>
  </si>
  <si>
    <t>לוואצה קרמה גוסטו קלוי וטחון 250גרם</t>
  </si>
  <si>
    <t>LAVAZZA CREMA GUSTO R&amp;G 250G</t>
  </si>
  <si>
    <t>לוואצה ל"פ אורו שחור קלוי וטחון 250גרם</t>
  </si>
  <si>
    <t>LAVAZZA ORO BLACK R&amp;G 250G</t>
  </si>
  <si>
    <t>לוואצה מטינו קלוי וטחון 250גרם (ב12)</t>
  </si>
  <si>
    <t>MATINO ROASTED GROUND 250G (BY12)</t>
  </si>
  <si>
    <t>לוואצה אורו קלייה כהה-קלוי וטחון 250גרם</t>
  </si>
  <si>
    <t>LAVAZZA ORO DARK ROAST R&amp;G 250G</t>
  </si>
  <si>
    <t>לוואצה אורו פולי קפה 250גרם (חדש)</t>
  </si>
  <si>
    <t>LAVAZZA ORO BEANS  250G (NEW)</t>
  </si>
  <si>
    <t>לוואצהקרמה קלסיקו פולי קפה 500גרם</t>
  </si>
  <si>
    <t>LAVAZZA CREMA CLASSICO 500G BEANS</t>
  </si>
  <si>
    <t>לוואצה פולי קפה רוסה 500גרם</t>
  </si>
  <si>
    <t>LAVAZZA ROSSA 500G BEANS</t>
  </si>
  <si>
    <t>לוואצה קרמה גוסטו פולי קפה1000גרם</t>
  </si>
  <si>
    <t>LAVAZZA CREMA&amp;GUSTO BEANS  1000G</t>
  </si>
  <si>
    <t>לוואצה אורו פולי קפה 1ק"ג</t>
  </si>
  <si>
    <t>LAVAZZA ORO BEANS  1KG</t>
  </si>
  <si>
    <t>לוואצה קרמה ארומה פולי קפה 1ק"ג</t>
  </si>
  <si>
    <t>LAVAZZA CREMA AROMA BEANS  1KG</t>
  </si>
  <si>
    <t>לוואצה מכונה ג'ולי אנד מילק אדומה 2</t>
  </si>
  <si>
    <t>LAVAZZA JOLIE&amp;MILK RED 2</t>
  </si>
  <si>
    <t>לוואצה מכונה ג'ולי אנד מילק לבנה 2</t>
  </si>
  <si>
    <t>LAVAZZA JOLIE&amp;MILK WHITE 2</t>
  </si>
  <si>
    <t>לוואצה מכונה אה מודה מיו טייני שחורה</t>
  </si>
  <si>
    <t>LAVAZZA JA MODE MIO TINY BLACK</t>
  </si>
  <si>
    <t>לוואצה מכונה אה מודה מיו טייני לבנה</t>
  </si>
  <si>
    <t>LAVAZZA JA MODE MIO TINY WHITE</t>
  </si>
  <si>
    <t>לוואצה מכונה אה מודה מיו טייני אדומה</t>
  </si>
  <si>
    <t>LAVAZZA JA MODE MIO TINY RED</t>
  </si>
  <si>
    <t>לוואצה מכונת אמודומיו טייני אקו שחורה</t>
  </si>
  <si>
    <t>LAVAZZA AMODE MIO TINY BLACK ECCO</t>
  </si>
  <si>
    <t>לוואצה מכונת אמודומיו טייני אקו אדומה</t>
  </si>
  <si>
    <t>LAVAZZA AMODE MIO TINY RED ECCO</t>
  </si>
  <si>
    <t>לוואצה מכונת אמודומיו טייני אקו לבנה</t>
  </si>
  <si>
    <t>LAVAZZA AMODE MIO TINY WHITE ECCO</t>
  </si>
  <si>
    <t>סוכריות ג'לי בינס 90גרם</t>
  </si>
  <si>
    <t>JELLY BEANS 90G FRUIT FLAVOUR</t>
  </si>
  <si>
    <t xml:space="preserve">סוכריות ג'לי בינס חמוץ 90גרם </t>
  </si>
  <si>
    <t>JELLY BEANS 90G SOUR FLAVOUR</t>
  </si>
  <si>
    <t>סוכריות ג'לי בינס פירות 90ג'</t>
  </si>
  <si>
    <t>JELLY BEANS 90G FRUIT 18FLAVOURS</t>
  </si>
  <si>
    <t>סוכריות ג'לי בינס לבבות 90ג'</t>
  </si>
  <si>
    <t>JELLY BEANS 90G HEARTS 18FLAVOURS</t>
  </si>
  <si>
    <t>סוכריות ג'לי בינס 200 גרם כוס</t>
  </si>
  <si>
    <t>JELLY BEANS 200G FRUIT FLAVOUR</t>
  </si>
  <si>
    <t xml:space="preserve">סוכריות ג'לי בינס פירות 200 גרם </t>
  </si>
  <si>
    <t>JELLY BEANS 200G FRUIT 18 FLAVOURS</t>
  </si>
  <si>
    <t>לקקן פיןפופ דובדבן 10יח' 170גר'</t>
  </si>
  <si>
    <t>PINPOP 10LOLLIPOS CHERRY 170G</t>
  </si>
  <si>
    <t>לקקן פיןפופ צובע לשון 10יח' 170גר'</t>
  </si>
  <si>
    <t>PINPOP 10LOLLIPOS TONGUE COLOURING 170G</t>
  </si>
  <si>
    <t>לקקן פיןפופ קולה 10יח' 170גר'</t>
  </si>
  <si>
    <t>PINPOP 10LOLLIPOS COLA 170G</t>
  </si>
  <si>
    <t>לקקן פיןפופ 10יח' 170גר'</t>
  </si>
  <si>
    <t>PINPOP 10LOLLIPOS 170G</t>
  </si>
  <si>
    <t>לק' יוגטה גלידה 12יח' שקית (ב 16)</t>
  </si>
  <si>
    <t>YOGUETA ICE CREAM LOLLIPOPS12PCS216G BAG</t>
  </si>
  <si>
    <t xml:space="preserve">לקקן יוגטה פירות 12יח' בשקית </t>
  </si>
  <si>
    <t>YOGUETTA LOLLIPOP FRUIT 12PCS NEW</t>
  </si>
  <si>
    <t xml:space="preserve">לקקן יוגטה מג'יק 12יח' בשקית </t>
  </si>
  <si>
    <t>YOGUETTA MAGIC 12PCS NEW</t>
  </si>
  <si>
    <t xml:space="preserve">לקקן פיןפופ פירות 14גר48Xיח' </t>
  </si>
  <si>
    <t>PINPOP LOLLIPOS 14GX48LLPS</t>
  </si>
  <si>
    <t>24X'יוגטה לוליפופ פירות20ג</t>
  </si>
  <si>
    <t>LOLLIPOPS 4 LVOURSX24</t>
  </si>
  <si>
    <t>לקקן יוגטה 100יח' בצילינדר</t>
  </si>
  <si>
    <t>YOGUETTA 100LOLLIPOPS</t>
  </si>
  <si>
    <t xml:space="preserve">לקקן גלידה 100יח' </t>
  </si>
  <si>
    <t>ICECREAM 100LOLLUPOPS</t>
  </si>
  <si>
    <t>יוגטה מג'יק 100 בצילינדר</t>
  </si>
  <si>
    <t>MAGIC 100LOLLIPOPS</t>
  </si>
  <si>
    <t>יוגטה מקלות ממולאים תות 1ק"ג עדה חרדית</t>
  </si>
  <si>
    <t>YOGUETA FILLED STICKS STRAW 1KG EDA HAREDIT</t>
  </si>
  <si>
    <t>יוגטה שטיחים חמוצים פירות 1ק"ג עדה חרדית</t>
  </si>
  <si>
    <t>YOGUETA SOUR BELTS FRUITS 1KG EDA HAREDIT</t>
  </si>
  <si>
    <t>יוגטה סוכריות לעיסות בטעם פירות 200גר</t>
  </si>
  <si>
    <t>YOGUETTA FRUIT FLAVORED CHEW CANDIES 200G</t>
  </si>
  <si>
    <t>יוגטה סוכר' לעיסות פירות 100X18גר</t>
  </si>
  <si>
    <t>YOGUETTA FRUIT FLAVORED CHEW CANDIES 100GX18</t>
  </si>
  <si>
    <t>יוגטה סוכר' לעיסות חמוצות 100X18גר</t>
  </si>
  <si>
    <t>YOGUETTA SOUR CHEWY CANDIES 100GX18</t>
  </si>
  <si>
    <t>24Xיוגטה מקלות חמוצים 80גר</t>
  </si>
  <si>
    <t>SOUR FILLED STICKS 80GX24PCS</t>
  </si>
  <si>
    <t>יוגטה שטיחים חמוצים 80ג24X חדש</t>
  </si>
  <si>
    <t>SOUR BELTS 80GX24PCS</t>
  </si>
  <si>
    <t>24Xיוגטה מקלות מבריקים ממולאים 80גר</t>
  </si>
  <si>
    <t>OILY FILLED STICKS 80GX24PCS</t>
  </si>
  <si>
    <t>יוגטה גומי המבורגר ונקניקיה 150גרם</t>
  </si>
  <si>
    <t>GUMMI 150G MIX HAMBURGER&amp;HOTDOGS</t>
  </si>
  <si>
    <t>יוגטה גומי דובונים מבריק 150גרם</t>
  </si>
  <si>
    <t>BEARS GUMMI 150G GLAZED</t>
  </si>
  <si>
    <t>יוגטה גומי תות חמוץ 150גרם</t>
  </si>
  <si>
    <t>SOUR STRAWBERRY GUMMI 150G GLAZED</t>
  </si>
  <si>
    <t>יוגטה גומי קולה מבריק 150גרם</t>
  </si>
  <si>
    <t>COLA GUMMI 150G GLAZED</t>
  </si>
  <si>
    <t>יוגטה גומי נחשים מסוכר 150גרם</t>
  </si>
  <si>
    <t>SUGARED SNAKES GUMMI 150G GLAZED</t>
  </si>
  <si>
    <t>יוגטה גומי לב אפרסק מסוכר  150גרם</t>
  </si>
  <si>
    <t>PEACH HEART GUMMI 150G</t>
  </si>
  <si>
    <t>יוגטה גומי דובדבן מבריק  150גרם</t>
  </si>
  <si>
    <t>PEGLAZED CHERRY GUMMI 150G</t>
  </si>
  <si>
    <t>יוגטה גומי מיני בננה מסוכר  150גרם</t>
  </si>
  <si>
    <t>SUGARED MINI BANNANA GUMMI 150G</t>
  </si>
  <si>
    <t>יוגטה 300גרם גומי בכוס ממותגת</t>
  </si>
  <si>
    <t>YUGETTA 300G GUMMI IN BRANDED CUP</t>
  </si>
  <si>
    <t>מקלות ממולאים פירות 200גרם עדה חרדית</t>
  </si>
  <si>
    <t>YOGUETTA FILLED STICKS FRUIT 200G EDA HAREDIT</t>
  </si>
  <si>
    <t>יוגטה שטיחים חמוצים פירות 200גרם עדה חרדית</t>
  </si>
  <si>
    <t>YOGUETTA SOUR BELTS FRUIT200G EDA HAREDIT</t>
  </si>
  <si>
    <t>יוגטה מקלות ממולאים תות 200גרם עדה חרדית</t>
  </si>
  <si>
    <t>YOGUETTA FILLED STICKS STRAWB200G EDA HAREDIT</t>
  </si>
  <si>
    <t>יוגטה שטיחים חמוצים ענבים 200גרם עדה חרדית</t>
  </si>
  <si>
    <t>YOGUETTA SOUR BELTS 200G GRAPES EDA HAREDIT</t>
  </si>
  <si>
    <t>יוגטה מקלות מבריקים ממולאים פירות 190 גרם</t>
  </si>
  <si>
    <t>YOGUETTA FILLED STICKS 190G NEW</t>
  </si>
  <si>
    <t>יוגטה מקלות חמוץ מסוכר פירות 190גרם</t>
  </si>
  <si>
    <t>YOGUETTA  STICKS SOUR 190G NEW</t>
  </si>
  <si>
    <t>יוגטה שטיחים תותי פרוטי 190 גרם</t>
  </si>
  <si>
    <t>YOGUETTA  CARPETS TUTTI FRUITY 190G</t>
  </si>
  <si>
    <t>יוגטה מיני מיקס שטיחים מקלות וקוביות 190גרם</t>
  </si>
  <si>
    <t>YOGUETTA  MIX CARPETS/STICKS/CUBES 190G</t>
  </si>
  <si>
    <t>יוגטה טופי פירות 700גרם עדה חרדית</t>
  </si>
  <si>
    <t>TOFFEE 700G IN A BAG</t>
  </si>
  <si>
    <t>יוגטה טופי שטוח מאגדת 350גרם עדה חרדית</t>
  </si>
  <si>
    <t>LITTLE FLAT TAFFY 350G</t>
  </si>
  <si>
    <t>יוגטה ל"פ טופי שטוח טעם מסטיק 24יח' עדה חרדית</t>
  </si>
  <si>
    <t>YOGUETTA FLAT TAFFY MASTIK 24PCS</t>
  </si>
  <si>
    <t xml:space="preserve">יוגטה טופי אקזוטי-עדה חרדית 700גרם </t>
  </si>
  <si>
    <t>YOGUETA EXOTIC TOFFEE 700G EDA HAREDIT</t>
  </si>
  <si>
    <t>יוגטה מקלות תות 24יח'</t>
  </si>
  <si>
    <t>YOGUETTA SOUR STICKS STR 24</t>
  </si>
  <si>
    <t>יוגטה מקלות קולה 24יח'</t>
  </si>
  <si>
    <t>YOGUETA SOUR STICKS COLA24PCS*50G</t>
  </si>
  <si>
    <t>יוגטה שטיח תות 24יח'</t>
  </si>
  <si>
    <t>YOGUETA SOUR BELTS STRAWBERRY24PCS*50G</t>
  </si>
  <si>
    <t>יוגטה שטיח מעורב 24יח'</t>
  </si>
  <si>
    <t>YOGUETA SOUR BELTS MIX24PCS*50G</t>
  </si>
  <si>
    <t>יוגטה שטיח ת/ב/ת/ת 24יח'</t>
  </si>
  <si>
    <t>YOGUETA SOUR BELTS STRW-BANANA-ORANGE-APPLE24PCS*50G</t>
  </si>
  <si>
    <t>יוגטה שטיח אבטיח24יח'</t>
  </si>
  <si>
    <t>YOGUETTA SOUR BELTS WATERMELON 24</t>
  </si>
  <si>
    <t>יוגטה גומי טיובס פירות 28גרם30Xיח</t>
  </si>
  <si>
    <t>YOGUETTA STRAWS LIWOURICE FRUIT 28GX30PCS</t>
  </si>
  <si>
    <t>יוגטה גומי טיובס קולה 28גרם30Xיח</t>
  </si>
  <si>
    <t>YOGUETTA STRAWS LIQORICE COLA 28GX30PCS</t>
  </si>
  <si>
    <t>יוגטה גומי טיובס תות 28גרם30Xיח</t>
  </si>
  <si>
    <t>YOGUETTA STRAWS LIQORICE STRAW 28GX30PCS</t>
  </si>
  <si>
    <t>יוגטה ספייסי בייטס מנגו 50ג16Xיח'</t>
  </si>
  <si>
    <t>SPICY BITES MANGO 16X50G</t>
  </si>
  <si>
    <t>יוגטה ספייסי בייטס אננס 50ג16Xיח'</t>
  </si>
  <si>
    <t>SPICY BITES PINEAPPLE 16X50G</t>
  </si>
  <si>
    <t>יוגטה שטיח מגולגל תותי פרוטי 1/6</t>
  </si>
  <si>
    <t>YOGUETTA ROLL TUTTI FRUITY 1/6</t>
  </si>
  <si>
    <t>יוגטה שטיח מגולגל פטל 1/6</t>
  </si>
  <si>
    <t>YOGUETA ROLL BLUERASPBERRY 1/6</t>
  </si>
  <si>
    <t>יוגטה ג'לי אקזוטי - עדה חרדית 700גר'</t>
  </si>
  <si>
    <t>YOGUETA EXSOTIC JELLY 700G EDA HAREDIT</t>
  </si>
  <si>
    <t>יוגטה ג'לי 1ק"ג בטעם פירות</t>
  </si>
  <si>
    <t>YOGUETA JELLY FRUIT 1KG</t>
  </si>
  <si>
    <t>יוגטה מרשמלו לבבות  150גרם חדש</t>
  </si>
  <si>
    <t>YOGUETTA  HEARTS MARSHMELLOW 150G NEW</t>
  </si>
  <si>
    <t xml:space="preserve">יוגטה מרשמלו קוביות 150גרם </t>
  </si>
  <si>
    <t>YOGUETTA MARSHMELLOW 150G CUBES</t>
  </si>
  <si>
    <t>יוגטה מרשמלו אבטיח 150גרם</t>
  </si>
  <si>
    <t>YOGUETTA MARSHMELLOW 150G WATERMELON</t>
  </si>
  <si>
    <t>יוגטה ל"פ מרשמלו מגולגל זוג 24Xיח'</t>
  </si>
  <si>
    <t>YOGUETTA MARSHMELLOW SWIRL23GX24</t>
  </si>
  <si>
    <t>יוגטה ל"פ מרשמלו מגולגל 36יח' בצילינדר</t>
  </si>
  <si>
    <t>YOGUETTA MARSHMELLOW SWIRL36PCS IN CYLINDER</t>
  </si>
  <si>
    <t>יוגטה מרשמלו קלאסי 150גרם</t>
  </si>
  <si>
    <t>YOGUETTA MARSHMELLOW 150 CLASSIC</t>
  </si>
  <si>
    <t>יוגטה מרשמלו מסולסל 150גר</t>
  </si>
  <si>
    <t>YOGUETTA MARSHMELLOW SWIRL S+150</t>
  </si>
  <si>
    <t>יוגטה מסטיק אבטיח 180גרם</t>
  </si>
  <si>
    <t>YOGUETA GUM WATERMELON180G</t>
  </si>
  <si>
    <t>יוגטה מסטיק לימון חמוץ 180גרם</t>
  </si>
  <si>
    <t>YOGUETA GUM SOUR LEMON 180G</t>
  </si>
  <si>
    <t>סוויטס ל"פ ביסקוויט במילוי שוקולד 75 גרם</t>
  </si>
  <si>
    <t>YOGUETTA FILLED BISCUIT 75G</t>
  </si>
  <si>
    <t>סוויטס ל"פ ביסקוויט במילוי קרם חלב 75 גרם</t>
  </si>
  <si>
    <t>YOGUETTA MILK CREAM FILLED BISCUIT 75G</t>
  </si>
  <si>
    <t>ביומט 8 קג בקרטון</t>
  </si>
  <si>
    <t>BIOMAT 8KG BOX</t>
  </si>
  <si>
    <t>תינוקלין מרכך כחול 1 ל חדש</t>
  </si>
  <si>
    <t>TINOKLEEN BLUE SOFTENER 1L</t>
  </si>
  <si>
    <t>תינוקלין מרכך לבן 1ליטר חדש</t>
  </si>
  <si>
    <t>TINOKLEEN WHITE SOFTENER 1L</t>
  </si>
  <si>
    <t>תינוקלין ל"פ ג'ל כביסה 2ליטר חדש</t>
  </si>
  <si>
    <t>TINOKLEEN GEL 2L</t>
  </si>
  <si>
    <t>תינוקלין ל"פ ג'ל כביסה 2ליטר קלנדולה</t>
  </si>
  <si>
    <t>TINOKLEEN GEL 2L CALENDULA</t>
  </si>
  <si>
    <t>תינוקלין אבקה 1.25קג חדש</t>
  </si>
  <si>
    <t>TINOKLEEN POWDER 1.25KG</t>
  </si>
  <si>
    <t>תינוקלין אבקת כביסה 3 ק"ג חדש</t>
  </si>
  <si>
    <t>TINOKLEEN 3KG</t>
  </si>
  <si>
    <t>ביומט 5ק"ג חדש</t>
  </si>
  <si>
    <t>BIOMAT 5KG</t>
  </si>
  <si>
    <t>ביומט 5ק"ג חדש (ב3)</t>
  </si>
  <si>
    <t>BIOMAT 5KG BY 3</t>
  </si>
  <si>
    <t>Supplier</t>
  </si>
  <si>
    <t>ItemNumber</t>
  </si>
  <si>
    <t>ItemDescription</t>
  </si>
  <si>
    <t>ENG</t>
  </si>
  <si>
    <t>VAN MELLE</t>
  </si>
  <si>
    <t>LI}TON</t>
  </si>
  <si>
    <t>MR BROWNIE</t>
  </si>
  <si>
    <t>GENERAL MILLS</t>
  </si>
  <si>
    <t>LoadType</t>
  </si>
  <si>
    <t>Palletized</t>
  </si>
  <si>
    <t>Loose</t>
  </si>
  <si>
    <t>CartonWeightKg</t>
  </si>
  <si>
    <t>CartonsPerLayer</t>
  </si>
  <si>
    <t>PalletLengthCm</t>
  </si>
  <si>
    <t>PalletWidthCm</t>
  </si>
  <si>
    <t>PalletHeightCm</t>
  </si>
  <si>
    <t>PalletWeightKg</t>
  </si>
  <si>
    <t>LayersPerPallet</t>
  </si>
  <si>
    <t>CartonsPerPallet</t>
  </si>
  <si>
    <t>LoadedPalletHeightCm</t>
  </si>
  <si>
    <t>Stackable</t>
  </si>
  <si>
    <t>CartonRotatable</t>
  </si>
  <si>
    <t>MustStayUpright</t>
  </si>
  <si>
    <t>MaxStackLayers</t>
  </si>
  <si>
    <t>MaxStackWeightKg</t>
  </si>
  <si>
    <t>CanMixSKUsOnPallet</t>
  </si>
  <si>
    <t>LoadingPriority</t>
  </si>
  <si>
    <t>Remarks</t>
  </si>
  <si>
    <t>ContainerType</t>
  </si>
  <si>
    <t>InternalLengthCm</t>
  </si>
  <si>
    <t>InternalWidthCm</t>
  </si>
  <si>
    <t>InternalHeightCm</t>
  </si>
  <si>
    <t>MaxPayloadKg</t>
  </si>
  <si>
    <t>20FT</t>
  </si>
  <si>
    <t>40FT</t>
  </si>
  <si>
    <t>40HC</t>
  </si>
  <si>
    <t>CartonLengthCm</t>
  </si>
  <si>
    <t>CartonWidthCm</t>
  </si>
  <si>
    <t>CartonHeightCm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</si>
</sst>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28BCB-497A-4036-A296-F9A322FBBB1E}">
  <sheetPr filterMode="1"/>
  <dimension ref="A1:AA347"/>
  <sheetViews>
    <sheetView rightToLeft="1" tabSelected="1" topLeftCell="A127" workbookViewId="0">
      <selection activeCell="B177" sqref="B177"/>
    </sheetView>
  </sheetViews>
  <sheetFormatPr defaultRowHeight="14.25" x14ac:dyDescent="0.2"/>
  <cols>
    <col min="2" max="2" width="41.375" style="2" bestFit="1" customWidth="1"/>
    <col min="3" max="3" width="62.25" style="2" bestFit="1" customWidth="1"/>
    <col min="4" max="4" width="62.25" style="2" customWidth="1"/>
    <col min="5" max="5" width="8.25" style="2" bestFit="1" customWidth="1"/>
    <col min="6" max="6" width="9" style="2"/>
    <col min="7" max="7" width="8.25" style="2" bestFit="1" customWidth="1"/>
    <col min="8" max="12" width="9" style="2"/>
    <col min="13" max="13" width="11" style="2" bestFit="1" customWidth="1"/>
    <col min="14" max="14" width="14.875" bestFit="1" customWidth="1"/>
    <col min="15" max="15" width="14" bestFit="1" customWidth="1"/>
    <col min="16" max="16" width="13.25" bestFit="1" customWidth="1"/>
    <col min="17" max="17" width="13.625" bestFit="1" customWidth="1"/>
    <col min="20" max="20" width="21.75" bestFit="1" customWidth="1"/>
    <col min="21" max="21" width="14.25" bestFit="1" customWidth="1"/>
    <col min="22" max="23" width="14.375" bestFit="1" customWidth="1"/>
  </cols>
  <sheetData>
    <row r="1" spans="1:27" x14ac:dyDescent="0.2">
      <c r="A1" t="s">
        <v>692</v>
      </c>
      <c r="B1" s="2" t="s">
        <v>693</v>
      </c>
      <c r="C1" s="1" t="s">
        <v>694</v>
      </c>
      <c r="D1" s="2" t="s">
        <v>691</v>
      </c>
      <c r="E1" s="2" t="s">
        <v>0</v>
      </c>
      <c r="F1" s="2" t="s">
        <v>699</v>
      </c>
      <c r="G1" s="2" t="s">
        <v>0</v>
      </c>
      <c r="H1" s="2" t="s">
        <v>709</v>
      </c>
      <c r="I1" s="2" t="s">
        <v>702</v>
      </c>
      <c r="J1" s="2" t="s">
        <v>727</v>
      </c>
      <c r="K1" s="2" t="s">
        <v>728</v>
      </c>
      <c r="L1" s="2" t="s">
        <v>729</v>
      </c>
      <c r="M1" s="2" t="s">
        <v>711</v>
      </c>
      <c r="N1" t="s">
        <v>703</v>
      </c>
      <c r="O1" t="s">
        <v>704</v>
      </c>
      <c r="P1" t="s">
        <v>705</v>
      </c>
      <c r="Q1" t="s">
        <v>706</v>
      </c>
      <c r="R1" t="s">
        <v>707</v>
      </c>
      <c r="S1" t="s">
        <v>708</v>
      </c>
      <c r="T1" t="s">
        <v>710</v>
      </c>
      <c r="U1" t="s">
        <v>712</v>
      </c>
      <c r="V1" t="s">
        <v>713</v>
      </c>
      <c r="W1" t="s">
        <v>714</v>
      </c>
      <c r="X1" t="s">
        <v>715</v>
      </c>
      <c r="Y1" t="s">
        <v>716</v>
      </c>
      <c r="Z1" t="s">
        <v>717</v>
      </c>
      <c r="AA1" t="s">
        <v>718</v>
      </c>
    </row>
    <row r="2" spans="1:27" hidden="1" x14ac:dyDescent="0.2">
      <c r="A2" t="str">
        <f>"0310062"</f>
        <v>0310062</v>
      </c>
      <c r="B2" s="2" t="s">
        <v>4</v>
      </c>
      <c r="C2" s="2" t="s">
        <v>5</v>
      </c>
      <c r="D2" s="2" t="s">
        <v>695</v>
      </c>
      <c r="E2" s="2" t="s">
        <v>1</v>
      </c>
      <c r="F2" s="2" t="s">
        <v>700</v>
      </c>
      <c r="G2" s="2" t="s">
        <v>1</v>
      </c>
      <c r="H2" s="2">
        <v>56</v>
      </c>
      <c r="I2" s="2">
        <v>12</v>
      </c>
      <c r="M2" s="2" t="s">
        <v>2</v>
      </c>
      <c r="N2">
        <v>8</v>
      </c>
      <c r="R2">
        <f>H2*I2</f>
        <v>672</v>
      </c>
      <c r="S2">
        <v>7</v>
      </c>
    </row>
    <row r="3" spans="1:27" hidden="1" x14ac:dyDescent="0.2">
      <c r="A3" t="str">
        <f>"0310064"</f>
        <v>0310064</v>
      </c>
      <c r="B3" s="2" t="s">
        <v>6</v>
      </c>
      <c r="C3" s="2" t="s">
        <v>7</v>
      </c>
      <c r="D3" s="2" t="s">
        <v>695</v>
      </c>
      <c r="E3" s="2" t="s">
        <v>1</v>
      </c>
      <c r="F3" s="2" t="s">
        <v>700</v>
      </c>
      <c r="G3" s="2" t="s">
        <v>1</v>
      </c>
      <c r="H3" s="2">
        <v>56</v>
      </c>
      <c r="I3" s="2">
        <v>12</v>
      </c>
      <c r="M3" s="2" t="s">
        <v>2</v>
      </c>
      <c r="N3">
        <v>8</v>
      </c>
      <c r="R3">
        <f t="shared" ref="R3:R66" si="0">H3*I3</f>
        <v>672</v>
      </c>
      <c r="S3">
        <v>7</v>
      </c>
    </row>
    <row r="4" spans="1:27" hidden="1" x14ac:dyDescent="0.2">
      <c r="A4" t="str">
        <f>"0310066"</f>
        <v>0310066</v>
      </c>
      <c r="B4" s="2" t="s">
        <v>8</v>
      </c>
      <c r="C4" s="2" t="s">
        <v>9</v>
      </c>
      <c r="D4" s="2" t="s">
        <v>695</v>
      </c>
      <c r="E4" s="2" t="s">
        <v>1</v>
      </c>
      <c r="F4" s="2" t="s">
        <v>700</v>
      </c>
      <c r="G4" s="2" t="s">
        <v>1</v>
      </c>
      <c r="H4" s="2">
        <v>56</v>
      </c>
      <c r="I4" s="2">
        <v>12</v>
      </c>
      <c r="M4" s="2" t="s">
        <v>2</v>
      </c>
      <c r="N4">
        <v>8</v>
      </c>
      <c r="R4">
        <f t="shared" si="0"/>
        <v>672</v>
      </c>
      <c r="S4">
        <v>7</v>
      </c>
    </row>
    <row r="5" spans="1:27" hidden="1" x14ac:dyDescent="0.2">
      <c r="A5" t="str">
        <f>"0310068"</f>
        <v>0310068</v>
      </c>
      <c r="B5" s="2" t="s">
        <v>10</v>
      </c>
      <c r="C5" s="2" t="s">
        <v>11</v>
      </c>
      <c r="D5" s="2" t="s">
        <v>695</v>
      </c>
      <c r="E5" s="2" t="s">
        <v>1</v>
      </c>
      <c r="F5" s="2" t="s">
        <v>700</v>
      </c>
      <c r="G5" s="2" t="s">
        <v>1</v>
      </c>
      <c r="H5" s="2">
        <v>56</v>
      </c>
      <c r="I5" s="2">
        <v>12</v>
      </c>
      <c r="M5" s="2" t="s">
        <v>2</v>
      </c>
      <c r="N5">
        <v>8</v>
      </c>
      <c r="R5">
        <f t="shared" si="0"/>
        <v>672</v>
      </c>
      <c r="S5">
        <v>7</v>
      </c>
    </row>
    <row r="6" spans="1:27" hidden="1" x14ac:dyDescent="0.2">
      <c r="A6" t="str">
        <f>"0310069"</f>
        <v>0310069</v>
      </c>
      <c r="B6" s="2" t="s">
        <v>12</v>
      </c>
      <c r="C6" s="2" t="s">
        <v>13</v>
      </c>
      <c r="D6" s="2" t="s">
        <v>695</v>
      </c>
      <c r="E6" s="2" t="s">
        <v>1</v>
      </c>
      <c r="F6" s="2" t="s">
        <v>700</v>
      </c>
      <c r="G6" s="2" t="s">
        <v>1</v>
      </c>
      <c r="H6" s="2">
        <v>56</v>
      </c>
      <c r="I6" s="2">
        <v>12</v>
      </c>
      <c r="M6" s="2" t="s">
        <v>2</v>
      </c>
      <c r="N6">
        <v>8</v>
      </c>
      <c r="R6">
        <f t="shared" si="0"/>
        <v>672</v>
      </c>
      <c r="S6">
        <v>7</v>
      </c>
    </row>
    <row r="7" spans="1:27" hidden="1" x14ac:dyDescent="0.2">
      <c r="A7" t="str">
        <f>"0310105"</f>
        <v>0310105</v>
      </c>
      <c r="B7" s="2" t="s">
        <v>14</v>
      </c>
      <c r="C7" s="2" t="s">
        <v>15</v>
      </c>
      <c r="D7" s="2" t="s">
        <v>695</v>
      </c>
      <c r="E7" s="2" t="s">
        <v>16</v>
      </c>
      <c r="F7" s="2" t="s">
        <v>700</v>
      </c>
      <c r="G7" s="2" t="s">
        <v>16</v>
      </c>
      <c r="H7" s="2">
        <v>140</v>
      </c>
      <c r="I7" s="2">
        <v>3.57</v>
      </c>
      <c r="M7" s="2" t="s">
        <v>2</v>
      </c>
      <c r="N7">
        <v>20</v>
      </c>
      <c r="R7">
        <f t="shared" si="0"/>
        <v>499.79999999999995</v>
      </c>
      <c r="S7">
        <v>7</v>
      </c>
    </row>
    <row r="8" spans="1:27" x14ac:dyDescent="0.2">
      <c r="A8" t="str">
        <f>"0310118"</f>
        <v>0310118</v>
      </c>
      <c r="B8" s="2" t="s">
        <v>17</v>
      </c>
      <c r="C8" s="2" t="s">
        <v>18</v>
      </c>
      <c r="D8" s="2" t="s">
        <v>695</v>
      </c>
      <c r="E8" s="2" t="s">
        <v>19</v>
      </c>
      <c r="F8" s="2" t="s">
        <v>700</v>
      </c>
      <c r="G8" s="2" t="s">
        <v>16</v>
      </c>
      <c r="H8" s="2">
        <v>24</v>
      </c>
      <c r="I8" s="2">
        <v>9.4499999999999993</v>
      </c>
      <c r="J8" s="2">
        <v>40</v>
      </c>
      <c r="K8" s="2">
        <v>30</v>
      </c>
      <c r="L8" s="2">
        <v>25</v>
      </c>
      <c r="M8" s="2" t="s">
        <v>2</v>
      </c>
      <c r="N8">
        <v>4</v>
      </c>
      <c r="R8">
        <f t="shared" si="0"/>
        <v>226.79999999999998</v>
      </c>
      <c r="S8">
        <v>7</v>
      </c>
      <c r="U8" t="s">
        <v>3</v>
      </c>
      <c r="V8" t="s">
        <v>2</v>
      </c>
      <c r="W8">
        <f>S8</f>
        <v>7</v>
      </c>
      <c r="X8">
        <f>R8+30</f>
        <v>256.79999999999995</v>
      </c>
      <c r="Y8" t="s">
        <v>3</v>
      </c>
    </row>
    <row r="9" spans="1:27" x14ac:dyDescent="0.2">
      <c r="A9" t="str">
        <f>"0310124"</f>
        <v>0310124</v>
      </c>
      <c r="B9" s="2" t="s">
        <v>20</v>
      </c>
      <c r="C9" s="2" t="s">
        <v>21</v>
      </c>
      <c r="D9" s="2" t="s">
        <v>695</v>
      </c>
      <c r="E9" s="2" t="s">
        <v>19</v>
      </c>
      <c r="F9" s="2" t="s">
        <v>700</v>
      </c>
      <c r="G9" s="2" t="s">
        <v>19</v>
      </c>
      <c r="H9" s="2">
        <v>60</v>
      </c>
      <c r="I9" s="2">
        <v>5.16</v>
      </c>
      <c r="J9" s="2">
        <v>40</v>
      </c>
      <c r="K9" s="2">
        <v>30</v>
      </c>
      <c r="L9" s="2">
        <v>25</v>
      </c>
      <c r="M9" s="2" t="s">
        <v>2</v>
      </c>
      <c r="N9">
        <v>10</v>
      </c>
      <c r="R9">
        <f t="shared" si="0"/>
        <v>309.60000000000002</v>
      </c>
      <c r="S9">
        <v>7</v>
      </c>
      <c r="U9" t="s">
        <v>3</v>
      </c>
      <c r="V9" t="s">
        <v>2</v>
      </c>
      <c r="W9">
        <f>S9</f>
        <v>7</v>
      </c>
      <c r="X9">
        <f>R9+30</f>
        <v>339.6</v>
      </c>
      <c r="Y9" t="s">
        <v>3</v>
      </c>
    </row>
    <row r="10" spans="1:27" hidden="1" x14ac:dyDescent="0.2">
      <c r="A10" t="str">
        <f>"0310126"</f>
        <v>0310126</v>
      </c>
      <c r="B10" s="2" t="s">
        <v>22</v>
      </c>
      <c r="C10" s="2" t="s">
        <v>23</v>
      </c>
      <c r="D10" s="2" t="s">
        <v>695</v>
      </c>
      <c r="E10" s="2" t="s">
        <v>16</v>
      </c>
      <c r="F10" s="2" t="s">
        <v>700</v>
      </c>
      <c r="G10" s="2" t="s">
        <v>16</v>
      </c>
      <c r="H10" s="2">
        <v>60</v>
      </c>
      <c r="I10" s="2">
        <v>3</v>
      </c>
      <c r="M10" s="2" t="s">
        <v>2</v>
      </c>
      <c r="N10">
        <v>12</v>
      </c>
      <c r="R10">
        <f t="shared" si="0"/>
        <v>180</v>
      </c>
      <c r="S10">
        <v>7</v>
      </c>
    </row>
    <row r="11" spans="1:27" hidden="1" x14ac:dyDescent="0.2">
      <c r="A11" t="str">
        <f>"0310127"</f>
        <v>0310127</v>
      </c>
      <c r="B11" s="2" t="s">
        <v>24</v>
      </c>
      <c r="C11" s="2" t="s">
        <v>25</v>
      </c>
      <c r="D11" s="2" t="s">
        <v>695</v>
      </c>
      <c r="E11" s="2" t="s">
        <v>16</v>
      </c>
      <c r="F11" s="2" t="s">
        <v>700</v>
      </c>
      <c r="G11" s="2" t="s">
        <v>16</v>
      </c>
      <c r="H11" s="2">
        <v>60</v>
      </c>
      <c r="I11" s="2">
        <v>3</v>
      </c>
      <c r="M11" s="2" t="s">
        <v>2</v>
      </c>
      <c r="N11">
        <v>12</v>
      </c>
      <c r="R11">
        <f t="shared" si="0"/>
        <v>180</v>
      </c>
      <c r="S11">
        <v>7</v>
      </c>
    </row>
    <row r="12" spans="1:27" hidden="1" x14ac:dyDescent="0.2">
      <c r="A12" t="str">
        <f>"0310171"</f>
        <v>0310171</v>
      </c>
      <c r="B12" s="2" t="s">
        <v>26</v>
      </c>
      <c r="C12" s="2" t="s">
        <v>27</v>
      </c>
      <c r="D12" s="2" t="s">
        <v>695</v>
      </c>
      <c r="E12" s="2" t="s">
        <v>16</v>
      </c>
      <c r="F12" s="2" t="s">
        <v>700</v>
      </c>
      <c r="G12" s="2" t="s">
        <v>16</v>
      </c>
      <c r="H12" s="2">
        <v>136</v>
      </c>
      <c r="I12" s="2">
        <v>5.25</v>
      </c>
      <c r="M12" s="2" t="s">
        <v>2</v>
      </c>
      <c r="N12">
        <v>17</v>
      </c>
      <c r="R12">
        <f t="shared" si="0"/>
        <v>714</v>
      </c>
      <c r="S12">
        <v>7</v>
      </c>
    </row>
    <row r="13" spans="1:27" hidden="1" x14ac:dyDescent="0.2">
      <c r="A13" t="str">
        <f>"0310172"</f>
        <v>0310172</v>
      </c>
      <c r="B13" s="2" t="s">
        <v>28</v>
      </c>
      <c r="C13" s="2" t="s">
        <v>29</v>
      </c>
      <c r="D13" s="2" t="s">
        <v>695</v>
      </c>
      <c r="E13" s="2" t="s">
        <v>16</v>
      </c>
      <c r="F13" s="2" t="s">
        <v>700</v>
      </c>
      <c r="G13" s="2" t="s">
        <v>16</v>
      </c>
      <c r="H13" s="2">
        <v>136</v>
      </c>
      <c r="I13" s="2">
        <v>5.25</v>
      </c>
      <c r="M13" s="2" t="s">
        <v>2</v>
      </c>
      <c r="N13">
        <v>17</v>
      </c>
      <c r="R13">
        <f t="shared" si="0"/>
        <v>714</v>
      </c>
      <c r="S13">
        <v>7</v>
      </c>
    </row>
    <row r="14" spans="1:27" hidden="1" x14ac:dyDescent="0.2">
      <c r="A14" t="str">
        <f>"0310174"</f>
        <v>0310174</v>
      </c>
      <c r="B14" s="2" t="s">
        <v>30</v>
      </c>
      <c r="C14" s="2" t="s">
        <v>31</v>
      </c>
      <c r="D14" s="2" t="s">
        <v>695</v>
      </c>
      <c r="E14" s="2" t="s">
        <v>16</v>
      </c>
      <c r="F14" s="2" t="s">
        <v>700</v>
      </c>
      <c r="G14" s="2" t="s">
        <v>16</v>
      </c>
      <c r="H14" s="2">
        <v>136</v>
      </c>
      <c r="I14" s="2">
        <v>5.25</v>
      </c>
      <c r="M14" s="2" t="s">
        <v>2</v>
      </c>
      <c r="N14">
        <v>17</v>
      </c>
      <c r="R14">
        <f t="shared" si="0"/>
        <v>714</v>
      </c>
      <c r="S14">
        <v>7</v>
      </c>
    </row>
    <row r="15" spans="1:27" hidden="1" x14ac:dyDescent="0.2">
      <c r="A15" t="str">
        <f>"0310176"</f>
        <v>0310176</v>
      </c>
      <c r="B15" s="2" t="s">
        <v>32</v>
      </c>
      <c r="C15" s="2" t="s">
        <v>33</v>
      </c>
      <c r="D15" s="2" t="s">
        <v>695</v>
      </c>
      <c r="E15" s="2" t="s">
        <v>16</v>
      </c>
      <c r="F15" s="2" t="s">
        <v>700</v>
      </c>
      <c r="G15" s="2" t="s">
        <v>16</v>
      </c>
      <c r="H15" s="2">
        <v>136</v>
      </c>
      <c r="I15" s="2">
        <v>5.25</v>
      </c>
      <c r="M15" s="2" t="s">
        <v>2</v>
      </c>
      <c r="N15">
        <v>17</v>
      </c>
      <c r="R15">
        <f t="shared" si="0"/>
        <v>714</v>
      </c>
      <c r="S15">
        <v>7</v>
      </c>
    </row>
    <row r="16" spans="1:27" hidden="1" x14ac:dyDescent="0.2">
      <c r="A16" t="str">
        <f>"0310178"</f>
        <v>0310178</v>
      </c>
      <c r="B16" s="2" t="s">
        <v>34</v>
      </c>
      <c r="C16" s="2" t="s">
        <v>35</v>
      </c>
      <c r="D16" s="2" t="s">
        <v>695</v>
      </c>
      <c r="E16" s="2" t="s">
        <v>16</v>
      </c>
      <c r="F16" s="2" t="s">
        <v>700</v>
      </c>
      <c r="G16" s="2" t="s">
        <v>16</v>
      </c>
      <c r="H16" s="2">
        <v>136</v>
      </c>
      <c r="I16" s="2">
        <v>5.25</v>
      </c>
      <c r="M16" s="2" t="s">
        <v>2</v>
      </c>
      <c r="N16">
        <v>17</v>
      </c>
      <c r="R16">
        <f t="shared" si="0"/>
        <v>714</v>
      </c>
      <c r="S16">
        <v>7</v>
      </c>
    </row>
    <row r="17" spans="1:25" hidden="1" x14ac:dyDescent="0.2">
      <c r="A17" t="str">
        <f>"0310179"</f>
        <v>0310179</v>
      </c>
      <c r="B17" s="2" t="s">
        <v>36</v>
      </c>
      <c r="C17" s="2" t="s">
        <v>37</v>
      </c>
      <c r="D17" s="2" t="s">
        <v>695</v>
      </c>
      <c r="E17" s="2" t="s">
        <v>16</v>
      </c>
      <c r="F17" s="2" t="s">
        <v>700</v>
      </c>
      <c r="G17" s="2" t="s">
        <v>16</v>
      </c>
      <c r="H17" s="2">
        <v>144</v>
      </c>
      <c r="I17" s="2">
        <v>5.25</v>
      </c>
      <c r="M17" s="2" t="s">
        <v>2</v>
      </c>
      <c r="N17">
        <v>17</v>
      </c>
      <c r="R17">
        <f t="shared" si="0"/>
        <v>756</v>
      </c>
      <c r="S17">
        <v>7</v>
      </c>
    </row>
    <row r="18" spans="1:25" x14ac:dyDescent="0.2">
      <c r="A18" t="str">
        <f>"0310196"</f>
        <v>0310196</v>
      </c>
      <c r="B18" s="2" t="s">
        <v>38</v>
      </c>
      <c r="C18" s="2" t="s">
        <v>39</v>
      </c>
      <c r="D18" s="2" t="s">
        <v>695</v>
      </c>
      <c r="E18" s="2" t="s">
        <v>19</v>
      </c>
      <c r="F18" s="2" t="s">
        <v>700</v>
      </c>
      <c r="G18" s="2" t="s">
        <v>19</v>
      </c>
      <c r="H18" s="2">
        <v>18</v>
      </c>
      <c r="I18" s="2">
        <v>24</v>
      </c>
      <c r="J18" s="2">
        <v>40</v>
      </c>
      <c r="K18" s="2">
        <v>30</v>
      </c>
      <c r="L18" s="2">
        <v>25</v>
      </c>
      <c r="M18" s="2" t="s">
        <v>2</v>
      </c>
      <c r="N18">
        <v>3</v>
      </c>
      <c r="R18">
        <f t="shared" si="0"/>
        <v>432</v>
      </c>
      <c r="S18">
        <v>7</v>
      </c>
      <c r="U18" t="s">
        <v>3</v>
      </c>
      <c r="V18" t="s">
        <v>2</v>
      </c>
      <c r="W18">
        <f>S18</f>
        <v>7</v>
      </c>
      <c r="X18">
        <f>R18+30</f>
        <v>462</v>
      </c>
      <c r="Y18" t="s">
        <v>3</v>
      </c>
    </row>
    <row r="19" spans="1:25" hidden="1" x14ac:dyDescent="0.2">
      <c r="A19" t="str">
        <f>"0310207"</f>
        <v>0310207</v>
      </c>
      <c r="B19" s="2" t="s">
        <v>40</v>
      </c>
      <c r="C19" s="2" t="s">
        <v>41</v>
      </c>
      <c r="D19" s="2" t="s">
        <v>695</v>
      </c>
      <c r="E19" s="2" t="s">
        <v>1</v>
      </c>
      <c r="F19" s="2" t="s">
        <v>700</v>
      </c>
      <c r="G19" s="2" t="s">
        <v>1</v>
      </c>
      <c r="H19" s="2">
        <v>60</v>
      </c>
      <c r="I19" s="2">
        <v>13.12</v>
      </c>
      <c r="M19" s="2" t="s">
        <v>2</v>
      </c>
      <c r="N19">
        <v>10</v>
      </c>
      <c r="R19">
        <f t="shared" si="0"/>
        <v>787.19999999999993</v>
      </c>
      <c r="S19">
        <v>7</v>
      </c>
    </row>
    <row r="20" spans="1:25" hidden="1" x14ac:dyDescent="0.2">
      <c r="A20" t="str">
        <f>"0310208"</f>
        <v>0310208</v>
      </c>
      <c r="B20" s="2" t="s">
        <v>42</v>
      </c>
      <c r="C20" s="2" t="s">
        <v>43</v>
      </c>
      <c r="D20" s="2" t="s">
        <v>695</v>
      </c>
      <c r="E20" s="2" t="s">
        <v>1</v>
      </c>
      <c r="F20" s="2" t="s">
        <v>700</v>
      </c>
      <c r="G20" s="2" t="s">
        <v>1</v>
      </c>
      <c r="H20" s="2">
        <v>60</v>
      </c>
      <c r="I20" s="2">
        <v>13.12</v>
      </c>
      <c r="M20" s="2" t="s">
        <v>2</v>
      </c>
      <c r="N20">
        <v>10</v>
      </c>
      <c r="R20">
        <f t="shared" si="0"/>
        <v>787.19999999999993</v>
      </c>
      <c r="S20">
        <v>7</v>
      </c>
    </row>
    <row r="21" spans="1:25" hidden="1" x14ac:dyDescent="0.2">
      <c r="A21" t="str">
        <f>"0310304"</f>
        <v>0310304</v>
      </c>
      <c r="B21" s="2" t="s">
        <v>44</v>
      </c>
      <c r="C21" s="2" t="s">
        <v>45</v>
      </c>
      <c r="D21" s="2" t="s">
        <v>695</v>
      </c>
      <c r="E21" s="2" t="s">
        <v>16</v>
      </c>
      <c r="F21" s="2" t="s">
        <v>700</v>
      </c>
      <c r="G21" s="2" t="s">
        <v>16</v>
      </c>
      <c r="H21" s="2">
        <v>216</v>
      </c>
      <c r="I21" s="2">
        <v>1.1200000000000001</v>
      </c>
      <c r="M21" s="2" t="s">
        <v>2</v>
      </c>
      <c r="N21">
        <v>27</v>
      </c>
      <c r="R21">
        <f t="shared" si="0"/>
        <v>241.92000000000002</v>
      </c>
      <c r="S21">
        <v>7</v>
      </c>
    </row>
    <row r="22" spans="1:25" hidden="1" x14ac:dyDescent="0.2">
      <c r="A22" t="str">
        <f>"0310305"</f>
        <v>0310305</v>
      </c>
      <c r="B22" s="2" t="s">
        <v>46</v>
      </c>
      <c r="C22" s="2" t="s">
        <v>47</v>
      </c>
      <c r="D22" s="2" t="s">
        <v>695</v>
      </c>
      <c r="E22" s="2" t="s">
        <v>16</v>
      </c>
      <c r="F22" s="2" t="s">
        <v>700</v>
      </c>
      <c r="G22" s="2" t="s">
        <v>16</v>
      </c>
      <c r="H22" s="2">
        <v>248</v>
      </c>
      <c r="I22" s="2">
        <v>1.1200000000000001</v>
      </c>
      <c r="M22" s="2" t="s">
        <v>2</v>
      </c>
      <c r="N22">
        <v>31</v>
      </c>
      <c r="R22">
        <f t="shared" si="0"/>
        <v>277.76000000000005</v>
      </c>
      <c r="S22">
        <v>7</v>
      </c>
    </row>
    <row r="23" spans="1:25" x14ac:dyDescent="0.2">
      <c r="A23" t="str">
        <f>"0310880"</f>
        <v>0310880</v>
      </c>
      <c r="B23" s="2" t="s">
        <v>48</v>
      </c>
      <c r="C23" s="2" t="s">
        <v>49</v>
      </c>
      <c r="D23" s="2" t="s">
        <v>695</v>
      </c>
      <c r="E23" s="2" t="s">
        <v>50</v>
      </c>
      <c r="F23" s="2" t="s">
        <v>700</v>
      </c>
      <c r="G23" s="2" t="s">
        <v>19</v>
      </c>
      <c r="H23" s="2">
        <v>20</v>
      </c>
      <c r="I23" s="2">
        <v>1</v>
      </c>
      <c r="J23" s="2">
        <v>40</v>
      </c>
      <c r="K23" s="2">
        <v>30</v>
      </c>
      <c r="L23" s="2">
        <v>25</v>
      </c>
      <c r="M23" s="2" t="s">
        <v>2</v>
      </c>
      <c r="N23">
        <v>10</v>
      </c>
      <c r="R23">
        <f t="shared" si="0"/>
        <v>20</v>
      </c>
      <c r="S23">
        <v>7</v>
      </c>
      <c r="U23" t="s">
        <v>3</v>
      </c>
      <c r="V23" t="s">
        <v>2</v>
      </c>
      <c r="W23">
        <f t="shared" ref="W23:W34" si="1">S23</f>
        <v>7</v>
      </c>
      <c r="X23">
        <f t="shared" ref="X23:X34" si="2">R23+30</f>
        <v>50</v>
      </c>
      <c r="Y23" t="s">
        <v>3</v>
      </c>
    </row>
    <row r="24" spans="1:25" x14ac:dyDescent="0.2">
      <c r="A24" t="str">
        <f>"0310890"</f>
        <v>0310890</v>
      </c>
      <c r="B24" s="2" t="s">
        <v>51</v>
      </c>
      <c r="C24" s="2" t="s">
        <v>52</v>
      </c>
      <c r="D24" s="2" t="s">
        <v>695</v>
      </c>
      <c r="E24" s="2" t="s">
        <v>19</v>
      </c>
      <c r="F24" s="2" t="s">
        <v>700</v>
      </c>
      <c r="G24" s="2" t="s">
        <v>19</v>
      </c>
      <c r="H24" s="2">
        <v>20</v>
      </c>
      <c r="I24" s="2">
        <v>16.788</v>
      </c>
      <c r="J24" s="2">
        <v>40</v>
      </c>
      <c r="K24" s="2">
        <v>30</v>
      </c>
      <c r="L24" s="2">
        <v>25</v>
      </c>
      <c r="M24" s="2" t="s">
        <v>2</v>
      </c>
      <c r="N24">
        <v>4</v>
      </c>
      <c r="R24">
        <f t="shared" si="0"/>
        <v>335.76</v>
      </c>
      <c r="S24">
        <v>7</v>
      </c>
      <c r="U24" t="s">
        <v>3</v>
      </c>
      <c r="V24" t="s">
        <v>2</v>
      </c>
      <c r="W24">
        <f t="shared" si="1"/>
        <v>7</v>
      </c>
      <c r="X24">
        <f t="shared" si="2"/>
        <v>365.76</v>
      </c>
      <c r="Y24" t="s">
        <v>3</v>
      </c>
    </row>
    <row r="25" spans="1:25" x14ac:dyDescent="0.2">
      <c r="A25" t="str">
        <f>"0312103"</f>
        <v>0312103</v>
      </c>
      <c r="B25" s="2" t="s">
        <v>53</v>
      </c>
      <c r="C25" s="2" t="s">
        <v>54</v>
      </c>
      <c r="D25" s="2" t="s">
        <v>695</v>
      </c>
      <c r="E25" s="2" t="s">
        <v>16</v>
      </c>
      <c r="F25" s="2" t="s">
        <v>700</v>
      </c>
      <c r="G25" s="2" t="s">
        <v>16</v>
      </c>
      <c r="H25" s="2">
        <v>210</v>
      </c>
      <c r="I25" s="2">
        <v>1.62</v>
      </c>
      <c r="J25" s="2">
        <v>40</v>
      </c>
      <c r="K25" s="2">
        <v>30</v>
      </c>
      <c r="L25" s="2">
        <v>25</v>
      </c>
      <c r="M25" s="2" t="s">
        <v>2</v>
      </c>
      <c r="N25">
        <v>15</v>
      </c>
      <c r="R25">
        <f t="shared" si="0"/>
        <v>340.20000000000005</v>
      </c>
      <c r="S25">
        <v>7</v>
      </c>
      <c r="U25" t="s">
        <v>3</v>
      </c>
      <c r="V25" t="s">
        <v>2</v>
      </c>
      <c r="W25">
        <f t="shared" si="1"/>
        <v>7</v>
      </c>
      <c r="X25">
        <f t="shared" si="2"/>
        <v>370.20000000000005</v>
      </c>
      <c r="Y25" t="s">
        <v>3</v>
      </c>
    </row>
    <row r="26" spans="1:25" x14ac:dyDescent="0.2">
      <c r="A26" t="str">
        <f>"0312104"</f>
        <v>0312104</v>
      </c>
      <c r="B26" s="2" t="s">
        <v>55</v>
      </c>
      <c r="C26" s="2" t="s">
        <v>56</v>
      </c>
      <c r="D26" s="2" t="s">
        <v>695</v>
      </c>
      <c r="E26" s="2" t="s">
        <v>16</v>
      </c>
      <c r="F26" s="2" t="s">
        <v>700</v>
      </c>
      <c r="G26" s="2" t="s">
        <v>16</v>
      </c>
      <c r="H26" s="2">
        <v>210</v>
      </c>
      <c r="I26" s="2">
        <v>1.62</v>
      </c>
      <c r="J26" s="2">
        <v>40</v>
      </c>
      <c r="K26" s="2">
        <v>30</v>
      </c>
      <c r="L26" s="2">
        <v>25</v>
      </c>
      <c r="M26" s="2" t="s">
        <v>2</v>
      </c>
      <c r="N26">
        <v>15</v>
      </c>
      <c r="R26">
        <f t="shared" si="0"/>
        <v>340.20000000000005</v>
      </c>
      <c r="S26">
        <v>7</v>
      </c>
      <c r="U26" t="s">
        <v>3</v>
      </c>
      <c r="V26" t="s">
        <v>2</v>
      </c>
      <c r="W26">
        <f t="shared" si="1"/>
        <v>7</v>
      </c>
      <c r="X26">
        <f t="shared" si="2"/>
        <v>370.20000000000005</v>
      </c>
      <c r="Y26" t="s">
        <v>3</v>
      </c>
    </row>
    <row r="27" spans="1:25" x14ac:dyDescent="0.2">
      <c r="A27" t="str">
        <f>"0312105"</f>
        <v>0312105</v>
      </c>
      <c r="B27" s="2" t="s">
        <v>57</v>
      </c>
      <c r="C27" s="2" t="s">
        <v>58</v>
      </c>
      <c r="D27" s="2" t="s">
        <v>695</v>
      </c>
      <c r="E27" s="2" t="s">
        <v>16</v>
      </c>
      <c r="F27" s="2" t="s">
        <v>700</v>
      </c>
      <c r="G27" s="2" t="s">
        <v>16</v>
      </c>
      <c r="H27" s="2">
        <v>210</v>
      </c>
      <c r="I27" s="2">
        <v>1.62</v>
      </c>
      <c r="J27" s="2">
        <v>40</v>
      </c>
      <c r="K27" s="2">
        <v>30</v>
      </c>
      <c r="L27" s="2">
        <v>25</v>
      </c>
      <c r="M27" s="2" t="s">
        <v>2</v>
      </c>
      <c r="N27">
        <v>15</v>
      </c>
      <c r="R27">
        <f t="shared" si="0"/>
        <v>340.20000000000005</v>
      </c>
      <c r="S27">
        <v>7</v>
      </c>
      <c r="U27" t="s">
        <v>3</v>
      </c>
      <c r="V27" t="s">
        <v>2</v>
      </c>
      <c r="W27">
        <f t="shared" si="1"/>
        <v>7</v>
      </c>
      <c r="X27">
        <f t="shared" si="2"/>
        <v>370.20000000000005</v>
      </c>
      <c r="Y27" t="s">
        <v>3</v>
      </c>
    </row>
    <row r="28" spans="1:25" x14ac:dyDescent="0.2">
      <c r="A28" t="str">
        <f>"0312106"</f>
        <v>0312106</v>
      </c>
      <c r="B28" s="2" t="s">
        <v>59</v>
      </c>
      <c r="C28" s="2" t="s">
        <v>60</v>
      </c>
      <c r="D28" s="2" t="s">
        <v>695</v>
      </c>
      <c r="E28" s="2" t="s">
        <v>16</v>
      </c>
      <c r="F28" s="2" t="s">
        <v>700</v>
      </c>
      <c r="G28" s="2" t="s">
        <v>16</v>
      </c>
      <c r="H28" s="2">
        <v>130</v>
      </c>
      <c r="I28" s="2">
        <v>1.58</v>
      </c>
      <c r="J28" s="2">
        <v>40</v>
      </c>
      <c r="K28" s="2">
        <v>30</v>
      </c>
      <c r="L28" s="2">
        <v>25</v>
      </c>
      <c r="M28" s="2" t="s">
        <v>2</v>
      </c>
      <c r="N28">
        <v>10</v>
      </c>
      <c r="R28">
        <f t="shared" si="0"/>
        <v>205.4</v>
      </c>
      <c r="S28">
        <v>7</v>
      </c>
      <c r="U28" t="s">
        <v>3</v>
      </c>
      <c r="V28" t="s">
        <v>2</v>
      </c>
      <c r="W28">
        <f t="shared" si="1"/>
        <v>7</v>
      </c>
      <c r="X28">
        <f t="shared" si="2"/>
        <v>235.4</v>
      </c>
      <c r="Y28" t="s">
        <v>3</v>
      </c>
    </row>
    <row r="29" spans="1:25" x14ac:dyDescent="0.2">
      <c r="A29" t="str">
        <f>"0316011"</f>
        <v>0316011</v>
      </c>
      <c r="B29" s="2" t="s">
        <v>61</v>
      </c>
      <c r="C29" s="2" t="s">
        <v>62</v>
      </c>
      <c r="D29" s="2" t="s">
        <v>695</v>
      </c>
      <c r="E29" s="2" t="s">
        <v>1</v>
      </c>
      <c r="F29" s="2" t="s">
        <v>700</v>
      </c>
      <c r="G29" s="2" t="s">
        <v>1</v>
      </c>
      <c r="H29" s="2">
        <v>117</v>
      </c>
      <c r="I29" s="2">
        <v>3.024</v>
      </c>
      <c r="J29" s="2">
        <v>40</v>
      </c>
      <c r="K29" s="2">
        <v>30</v>
      </c>
      <c r="L29" s="2">
        <v>25</v>
      </c>
      <c r="M29" s="2" t="s">
        <v>2</v>
      </c>
      <c r="N29">
        <v>13</v>
      </c>
      <c r="R29">
        <f t="shared" si="0"/>
        <v>353.80799999999999</v>
      </c>
      <c r="S29">
        <v>7</v>
      </c>
      <c r="U29" t="s">
        <v>3</v>
      </c>
      <c r="V29" t="s">
        <v>2</v>
      </c>
      <c r="W29">
        <f t="shared" si="1"/>
        <v>7</v>
      </c>
      <c r="X29">
        <f t="shared" si="2"/>
        <v>383.80799999999999</v>
      </c>
      <c r="Y29" t="s">
        <v>3</v>
      </c>
    </row>
    <row r="30" spans="1:25" x14ac:dyDescent="0.2">
      <c r="A30" t="str">
        <f>"0316012"</f>
        <v>0316012</v>
      </c>
      <c r="B30" s="2" t="s">
        <v>63</v>
      </c>
      <c r="C30" s="2" t="s">
        <v>64</v>
      </c>
      <c r="D30" s="2" t="s">
        <v>695</v>
      </c>
      <c r="E30" s="2" t="s">
        <v>1</v>
      </c>
      <c r="F30" s="2" t="s">
        <v>700</v>
      </c>
      <c r="G30" s="2" t="s">
        <v>1</v>
      </c>
      <c r="H30" s="2">
        <v>117</v>
      </c>
      <c r="I30" s="2">
        <v>3.024</v>
      </c>
      <c r="J30" s="2">
        <v>40</v>
      </c>
      <c r="K30" s="2">
        <v>30</v>
      </c>
      <c r="L30" s="2">
        <v>25</v>
      </c>
      <c r="M30" s="2" t="s">
        <v>2</v>
      </c>
      <c r="N30">
        <v>13</v>
      </c>
      <c r="R30">
        <f t="shared" si="0"/>
        <v>353.80799999999999</v>
      </c>
      <c r="S30">
        <v>7</v>
      </c>
      <c r="U30" t="s">
        <v>3</v>
      </c>
      <c r="V30" t="s">
        <v>2</v>
      </c>
      <c r="W30">
        <f t="shared" si="1"/>
        <v>7</v>
      </c>
      <c r="X30">
        <f t="shared" si="2"/>
        <v>383.80799999999999</v>
      </c>
      <c r="Y30" t="s">
        <v>3</v>
      </c>
    </row>
    <row r="31" spans="1:25" x14ac:dyDescent="0.2">
      <c r="A31" t="str">
        <f>"0316013"</f>
        <v>0316013</v>
      </c>
      <c r="B31" s="2" t="s">
        <v>65</v>
      </c>
      <c r="C31" s="2" t="s">
        <v>66</v>
      </c>
      <c r="D31" s="2" t="s">
        <v>695</v>
      </c>
      <c r="E31" s="2" t="s">
        <v>1</v>
      </c>
      <c r="F31" s="2" t="s">
        <v>700</v>
      </c>
      <c r="G31" s="2" t="s">
        <v>1</v>
      </c>
      <c r="H31" s="2">
        <v>143</v>
      </c>
      <c r="I31" s="2">
        <v>3.024</v>
      </c>
      <c r="J31" s="2">
        <v>40</v>
      </c>
      <c r="K31" s="2">
        <v>30</v>
      </c>
      <c r="L31" s="2">
        <v>25</v>
      </c>
      <c r="M31" s="2" t="s">
        <v>2</v>
      </c>
      <c r="N31">
        <v>13</v>
      </c>
      <c r="R31">
        <f t="shared" si="0"/>
        <v>432.43200000000002</v>
      </c>
      <c r="S31">
        <v>7</v>
      </c>
      <c r="U31" t="s">
        <v>3</v>
      </c>
      <c r="V31" t="s">
        <v>2</v>
      </c>
      <c r="W31">
        <f t="shared" si="1"/>
        <v>7</v>
      </c>
      <c r="X31">
        <f t="shared" si="2"/>
        <v>462.43200000000002</v>
      </c>
      <c r="Y31" t="s">
        <v>3</v>
      </c>
    </row>
    <row r="32" spans="1:25" x14ac:dyDescent="0.2">
      <c r="A32" t="str">
        <f>"0316019"</f>
        <v>0316019</v>
      </c>
      <c r="B32" s="2" t="s">
        <v>67</v>
      </c>
      <c r="C32" s="2" t="s">
        <v>68</v>
      </c>
      <c r="D32" s="2" t="s">
        <v>695</v>
      </c>
      <c r="E32" s="2" t="s">
        <v>50</v>
      </c>
      <c r="F32" s="2" t="s">
        <v>700</v>
      </c>
      <c r="G32" s="2" t="s">
        <v>50</v>
      </c>
      <c r="H32" s="2">
        <v>60</v>
      </c>
      <c r="I32" s="2">
        <v>1.004</v>
      </c>
      <c r="J32" s="2">
        <v>40</v>
      </c>
      <c r="K32" s="2">
        <v>30</v>
      </c>
      <c r="L32" s="2">
        <v>25</v>
      </c>
      <c r="M32" s="2" t="s">
        <v>2</v>
      </c>
      <c r="N32">
        <v>10</v>
      </c>
      <c r="R32">
        <f t="shared" si="0"/>
        <v>60.24</v>
      </c>
      <c r="S32">
        <v>7</v>
      </c>
      <c r="U32" t="s">
        <v>3</v>
      </c>
      <c r="V32" t="s">
        <v>2</v>
      </c>
      <c r="W32">
        <f t="shared" si="1"/>
        <v>7</v>
      </c>
      <c r="X32">
        <f t="shared" si="2"/>
        <v>90.240000000000009</v>
      </c>
      <c r="Y32" t="s">
        <v>3</v>
      </c>
    </row>
    <row r="33" spans="1:25" x14ac:dyDescent="0.2">
      <c r="A33" t="str">
        <f>"0316031"</f>
        <v>0316031</v>
      </c>
      <c r="B33" s="2" t="s">
        <v>69</v>
      </c>
      <c r="C33" s="2" t="s">
        <v>70</v>
      </c>
      <c r="D33" s="2" t="s">
        <v>695</v>
      </c>
      <c r="E33" s="2" t="s">
        <v>1</v>
      </c>
      <c r="F33" s="2" t="s">
        <v>700</v>
      </c>
      <c r="G33" s="2" t="s">
        <v>1</v>
      </c>
      <c r="H33" s="2">
        <v>132</v>
      </c>
      <c r="I33" s="2">
        <v>3.36</v>
      </c>
      <c r="J33" s="2">
        <v>40</v>
      </c>
      <c r="K33" s="2">
        <v>30</v>
      </c>
      <c r="L33" s="2">
        <v>25</v>
      </c>
      <c r="M33" s="2" t="s">
        <v>2</v>
      </c>
      <c r="N33">
        <v>11</v>
      </c>
      <c r="R33">
        <f t="shared" si="0"/>
        <v>443.52</v>
      </c>
      <c r="S33">
        <v>7</v>
      </c>
      <c r="U33" t="s">
        <v>3</v>
      </c>
      <c r="V33" t="s">
        <v>2</v>
      </c>
      <c r="W33">
        <f t="shared" si="1"/>
        <v>7</v>
      </c>
      <c r="X33">
        <f t="shared" si="2"/>
        <v>473.52</v>
      </c>
      <c r="Y33" t="s">
        <v>3</v>
      </c>
    </row>
    <row r="34" spans="1:25" x14ac:dyDescent="0.2">
      <c r="A34" t="str">
        <f>"0316033"</f>
        <v>0316033</v>
      </c>
      <c r="B34" s="2" t="s">
        <v>71</v>
      </c>
      <c r="C34" s="2" t="s">
        <v>72</v>
      </c>
      <c r="D34" s="2" t="s">
        <v>695</v>
      </c>
      <c r="E34" s="2" t="s">
        <v>1</v>
      </c>
      <c r="F34" s="2" t="s">
        <v>700</v>
      </c>
      <c r="G34" s="2" t="s">
        <v>1</v>
      </c>
      <c r="H34" s="2">
        <v>143</v>
      </c>
      <c r="I34" s="2">
        <v>3.36</v>
      </c>
      <c r="J34" s="2">
        <v>40</v>
      </c>
      <c r="K34" s="2">
        <v>30</v>
      </c>
      <c r="L34" s="2">
        <v>25</v>
      </c>
      <c r="M34" s="2" t="s">
        <v>2</v>
      </c>
      <c r="N34">
        <v>11</v>
      </c>
      <c r="R34">
        <f t="shared" si="0"/>
        <v>480.47999999999996</v>
      </c>
      <c r="S34">
        <v>7</v>
      </c>
      <c r="U34" t="s">
        <v>3</v>
      </c>
      <c r="V34" t="s">
        <v>2</v>
      </c>
      <c r="W34">
        <f t="shared" si="1"/>
        <v>7</v>
      </c>
      <c r="X34">
        <f t="shared" si="2"/>
        <v>510.47999999999996</v>
      </c>
      <c r="Y34" t="s">
        <v>3</v>
      </c>
    </row>
    <row r="35" spans="1:25" hidden="1" x14ac:dyDescent="0.2">
      <c r="A35" t="str">
        <f>"0316034"</f>
        <v>0316034</v>
      </c>
      <c r="B35" s="2" t="s">
        <v>73</v>
      </c>
      <c r="C35" s="2" t="s">
        <v>74</v>
      </c>
      <c r="D35" s="2" t="s">
        <v>695</v>
      </c>
      <c r="E35" s="2" t="s">
        <v>1</v>
      </c>
      <c r="F35" s="2" t="s">
        <v>700</v>
      </c>
      <c r="G35" s="2" t="s">
        <v>1</v>
      </c>
      <c r="H35" s="2">
        <v>132</v>
      </c>
      <c r="I35" s="2">
        <v>3.36</v>
      </c>
      <c r="M35" s="2" t="s">
        <v>2</v>
      </c>
      <c r="N35">
        <v>11</v>
      </c>
      <c r="R35">
        <f t="shared" si="0"/>
        <v>443.52</v>
      </c>
      <c r="S35">
        <v>7</v>
      </c>
    </row>
    <row r="36" spans="1:25" hidden="1" x14ac:dyDescent="0.2">
      <c r="A36" t="str">
        <f>"0341003"</f>
        <v>0341003</v>
      </c>
      <c r="B36" s="2" t="s">
        <v>75</v>
      </c>
      <c r="C36" s="2" t="s">
        <v>76</v>
      </c>
      <c r="D36" s="2" t="s">
        <v>695</v>
      </c>
      <c r="E36" s="2" t="s">
        <v>1</v>
      </c>
      <c r="F36" s="2" t="s">
        <v>700</v>
      </c>
      <c r="G36" s="2" t="s">
        <v>1</v>
      </c>
      <c r="H36" s="2">
        <v>240</v>
      </c>
      <c r="I36" s="2">
        <v>1.44</v>
      </c>
      <c r="M36" s="2" t="s">
        <v>2</v>
      </c>
      <c r="N36">
        <v>24</v>
      </c>
      <c r="R36">
        <f t="shared" si="0"/>
        <v>345.59999999999997</v>
      </c>
      <c r="S36">
        <v>7</v>
      </c>
    </row>
    <row r="37" spans="1:25" hidden="1" x14ac:dyDescent="0.2">
      <c r="A37" t="str">
        <f>"0341004"</f>
        <v>0341004</v>
      </c>
      <c r="B37" s="2" t="s">
        <v>77</v>
      </c>
      <c r="C37" s="2" t="s">
        <v>78</v>
      </c>
      <c r="D37" s="2" t="s">
        <v>695</v>
      </c>
      <c r="E37" s="2" t="s">
        <v>1</v>
      </c>
      <c r="F37" s="2" t="s">
        <v>700</v>
      </c>
      <c r="G37" s="2" t="s">
        <v>1</v>
      </c>
      <c r="H37" s="2">
        <v>240</v>
      </c>
      <c r="I37" s="2">
        <v>1.44</v>
      </c>
      <c r="M37" s="2" t="s">
        <v>2</v>
      </c>
      <c r="N37">
        <v>24</v>
      </c>
      <c r="R37">
        <f t="shared" si="0"/>
        <v>345.59999999999997</v>
      </c>
      <c r="S37">
        <v>7</v>
      </c>
    </row>
    <row r="38" spans="1:25" hidden="1" x14ac:dyDescent="0.2">
      <c r="A38" t="str">
        <f>"0341251"</f>
        <v>0341251</v>
      </c>
      <c r="B38" s="2" t="s">
        <v>79</v>
      </c>
      <c r="C38" s="2" t="s">
        <v>80</v>
      </c>
      <c r="D38" s="2" t="s">
        <v>695</v>
      </c>
      <c r="E38" s="2" t="s">
        <v>1</v>
      </c>
      <c r="F38" s="2" t="s">
        <v>700</v>
      </c>
      <c r="G38" s="2" t="s">
        <v>1</v>
      </c>
      <c r="H38" s="2">
        <v>108</v>
      </c>
      <c r="I38" s="2">
        <v>3.24</v>
      </c>
      <c r="M38" s="2" t="s">
        <v>2</v>
      </c>
      <c r="N38">
        <v>12</v>
      </c>
      <c r="R38">
        <f t="shared" si="0"/>
        <v>349.92</v>
      </c>
      <c r="S38">
        <v>7</v>
      </c>
    </row>
    <row r="39" spans="1:25" hidden="1" x14ac:dyDescent="0.2">
      <c r="A39" t="str">
        <f>"0341252"</f>
        <v>0341252</v>
      </c>
      <c r="B39" s="2" t="s">
        <v>81</v>
      </c>
      <c r="C39" s="2" t="s">
        <v>82</v>
      </c>
      <c r="D39" s="2" t="s">
        <v>695</v>
      </c>
      <c r="E39" s="2" t="s">
        <v>1</v>
      </c>
      <c r="F39" s="2" t="s">
        <v>700</v>
      </c>
      <c r="G39" s="2" t="s">
        <v>1</v>
      </c>
      <c r="H39" s="2">
        <v>108</v>
      </c>
      <c r="I39" s="2">
        <v>3.24</v>
      </c>
      <c r="M39" s="2" t="s">
        <v>2</v>
      </c>
      <c r="N39">
        <v>12</v>
      </c>
      <c r="R39">
        <f t="shared" si="0"/>
        <v>349.92</v>
      </c>
      <c r="S39">
        <v>7</v>
      </c>
    </row>
    <row r="40" spans="1:25" hidden="1" x14ac:dyDescent="0.2">
      <c r="A40" t="str">
        <f>"0341253"</f>
        <v>0341253</v>
      </c>
      <c r="B40" s="2" t="s">
        <v>83</v>
      </c>
      <c r="C40" s="2" t="s">
        <v>84</v>
      </c>
      <c r="D40" s="2" t="s">
        <v>695</v>
      </c>
      <c r="E40" s="2" t="s">
        <v>1</v>
      </c>
      <c r="F40" s="2" t="s">
        <v>700</v>
      </c>
      <c r="G40" s="2" t="s">
        <v>1</v>
      </c>
      <c r="H40" s="2">
        <v>108</v>
      </c>
      <c r="I40" s="2">
        <v>3.24</v>
      </c>
      <c r="M40" s="2" t="s">
        <v>2</v>
      </c>
      <c r="N40">
        <v>12</v>
      </c>
      <c r="R40">
        <f t="shared" si="0"/>
        <v>349.92</v>
      </c>
      <c r="S40">
        <v>7</v>
      </c>
    </row>
    <row r="41" spans="1:25" hidden="1" x14ac:dyDescent="0.2">
      <c r="A41" t="str">
        <f>"0341254"</f>
        <v>0341254</v>
      </c>
      <c r="B41" s="2" t="s">
        <v>85</v>
      </c>
      <c r="C41" s="2" t="s">
        <v>86</v>
      </c>
      <c r="D41" s="2" t="s">
        <v>695</v>
      </c>
      <c r="E41" s="2" t="s">
        <v>1</v>
      </c>
      <c r="F41" s="2" t="s">
        <v>700</v>
      </c>
      <c r="G41" s="2" t="s">
        <v>1</v>
      </c>
      <c r="H41" s="2">
        <v>108</v>
      </c>
      <c r="I41" s="2">
        <v>3.24</v>
      </c>
      <c r="M41" s="2" t="s">
        <v>2</v>
      </c>
      <c r="N41">
        <v>12</v>
      </c>
      <c r="R41">
        <f t="shared" si="0"/>
        <v>349.92</v>
      </c>
      <c r="S41">
        <v>7</v>
      </c>
    </row>
    <row r="42" spans="1:25" hidden="1" x14ac:dyDescent="0.2">
      <c r="A42" t="str">
        <f>"0341255"</f>
        <v>0341255</v>
      </c>
      <c r="B42" s="2" t="s">
        <v>87</v>
      </c>
      <c r="C42" s="2" t="s">
        <v>88</v>
      </c>
      <c r="D42" s="2" t="s">
        <v>695</v>
      </c>
      <c r="E42" s="2" t="s">
        <v>1</v>
      </c>
      <c r="F42" s="2" t="s">
        <v>700</v>
      </c>
      <c r="G42" s="2" t="s">
        <v>1</v>
      </c>
      <c r="H42" s="2">
        <v>108</v>
      </c>
      <c r="I42" s="2">
        <v>3.24</v>
      </c>
      <c r="M42" s="2" t="s">
        <v>2</v>
      </c>
      <c r="N42">
        <v>12</v>
      </c>
      <c r="R42">
        <f t="shared" si="0"/>
        <v>349.92</v>
      </c>
      <c r="S42">
        <v>7</v>
      </c>
    </row>
    <row r="43" spans="1:25" hidden="1" x14ac:dyDescent="0.2">
      <c r="A43" t="str">
        <f>"0341271"</f>
        <v>0341271</v>
      </c>
      <c r="B43" s="2" t="s">
        <v>89</v>
      </c>
      <c r="C43" s="2" t="s">
        <v>90</v>
      </c>
      <c r="D43" s="2" t="s">
        <v>695</v>
      </c>
      <c r="E43" s="2" t="s">
        <v>1</v>
      </c>
      <c r="F43" s="2" t="s">
        <v>700</v>
      </c>
      <c r="G43" s="2" t="s">
        <v>1</v>
      </c>
      <c r="H43" s="2">
        <v>98</v>
      </c>
      <c r="I43" s="2">
        <v>3.6</v>
      </c>
      <c r="M43" s="2" t="s">
        <v>3</v>
      </c>
      <c r="N43">
        <v>14</v>
      </c>
      <c r="R43">
        <f t="shared" si="0"/>
        <v>352.8</v>
      </c>
      <c r="S43">
        <v>7</v>
      </c>
    </row>
    <row r="44" spans="1:25" hidden="1" x14ac:dyDescent="0.2">
      <c r="A44" t="str">
        <f>"0341272"</f>
        <v>0341272</v>
      </c>
      <c r="B44" s="2" t="s">
        <v>91</v>
      </c>
      <c r="C44" s="2" t="s">
        <v>92</v>
      </c>
      <c r="D44" s="2" t="s">
        <v>695</v>
      </c>
      <c r="E44" s="2" t="s">
        <v>1</v>
      </c>
      <c r="F44" s="2" t="s">
        <v>700</v>
      </c>
      <c r="G44" s="2" t="s">
        <v>1</v>
      </c>
      <c r="H44" s="2">
        <v>98</v>
      </c>
      <c r="I44" s="2">
        <v>3.6</v>
      </c>
      <c r="M44" s="2" t="s">
        <v>3</v>
      </c>
      <c r="N44">
        <v>14</v>
      </c>
      <c r="R44">
        <f t="shared" si="0"/>
        <v>352.8</v>
      </c>
      <c r="S44">
        <v>7</v>
      </c>
    </row>
    <row r="45" spans="1:25" hidden="1" x14ac:dyDescent="0.2">
      <c r="A45" t="str">
        <f>"0341273"</f>
        <v>0341273</v>
      </c>
      <c r="B45" s="2" t="s">
        <v>93</v>
      </c>
      <c r="C45" s="2" t="s">
        <v>94</v>
      </c>
      <c r="D45" s="2" t="s">
        <v>695</v>
      </c>
      <c r="E45" s="2" t="s">
        <v>1</v>
      </c>
      <c r="F45" s="2" t="s">
        <v>700</v>
      </c>
      <c r="G45" s="2" t="s">
        <v>1</v>
      </c>
      <c r="H45" s="2">
        <v>98</v>
      </c>
      <c r="I45" s="2">
        <v>3.6</v>
      </c>
      <c r="M45" s="2" t="s">
        <v>3</v>
      </c>
      <c r="N45">
        <v>14</v>
      </c>
      <c r="R45">
        <f t="shared" si="0"/>
        <v>352.8</v>
      </c>
      <c r="S45">
        <v>7</v>
      </c>
    </row>
    <row r="46" spans="1:25" hidden="1" x14ac:dyDescent="0.2">
      <c r="A46" t="str">
        <f>"0341281"</f>
        <v>0341281</v>
      </c>
      <c r="B46" s="2" t="s">
        <v>95</v>
      </c>
      <c r="C46" s="2" t="s">
        <v>96</v>
      </c>
      <c r="D46" s="2" t="s">
        <v>695</v>
      </c>
      <c r="E46" s="2" t="s">
        <v>1</v>
      </c>
      <c r="F46" s="2" t="s">
        <v>700</v>
      </c>
      <c r="G46" s="2" t="s">
        <v>1</v>
      </c>
      <c r="H46" s="2">
        <v>98</v>
      </c>
      <c r="I46" s="2">
        <v>3.24</v>
      </c>
      <c r="M46" s="2" t="s">
        <v>3</v>
      </c>
      <c r="N46">
        <v>14</v>
      </c>
      <c r="R46">
        <f t="shared" si="0"/>
        <v>317.52000000000004</v>
      </c>
      <c r="S46">
        <v>7</v>
      </c>
    </row>
    <row r="47" spans="1:25" hidden="1" x14ac:dyDescent="0.2">
      <c r="A47" t="str">
        <f>"0341282"</f>
        <v>0341282</v>
      </c>
      <c r="B47" s="2" t="s">
        <v>97</v>
      </c>
      <c r="C47" s="2" t="s">
        <v>98</v>
      </c>
      <c r="D47" s="2" t="s">
        <v>695</v>
      </c>
      <c r="E47" s="2" t="s">
        <v>1</v>
      </c>
      <c r="F47" s="2" t="s">
        <v>700</v>
      </c>
      <c r="G47" s="2" t="s">
        <v>1</v>
      </c>
      <c r="H47" s="2">
        <v>98</v>
      </c>
      <c r="I47" s="2">
        <v>3.24</v>
      </c>
      <c r="M47" s="2" t="s">
        <v>3</v>
      </c>
      <c r="N47">
        <v>14</v>
      </c>
      <c r="R47">
        <f t="shared" si="0"/>
        <v>317.52000000000004</v>
      </c>
      <c r="S47">
        <v>7</v>
      </c>
    </row>
    <row r="48" spans="1:25" hidden="1" x14ac:dyDescent="0.2">
      <c r="A48" t="str">
        <f>"0341283"</f>
        <v>0341283</v>
      </c>
      <c r="B48" s="2" t="s">
        <v>99</v>
      </c>
      <c r="C48" s="2" t="s">
        <v>100</v>
      </c>
      <c r="D48" s="2" t="s">
        <v>695</v>
      </c>
      <c r="E48" s="2" t="s">
        <v>1</v>
      </c>
      <c r="F48" s="2" t="s">
        <v>700</v>
      </c>
      <c r="G48" s="2" t="s">
        <v>1</v>
      </c>
      <c r="H48" s="2">
        <v>98</v>
      </c>
      <c r="I48" s="2">
        <v>3.24</v>
      </c>
      <c r="M48" s="2" t="s">
        <v>3</v>
      </c>
      <c r="N48">
        <v>14</v>
      </c>
      <c r="R48">
        <f t="shared" si="0"/>
        <v>317.52000000000004</v>
      </c>
      <c r="S48">
        <v>7</v>
      </c>
    </row>
    <row r="49" spans="1:19" hidden="1" x14ac:dyDescent="0.2">
      <c r="A49" t="str">
        <f>"0341511"</f>
        <v>0341511</v>
      </c>
      <c r="B49" s="2" t="s">
        <v>101</v>
      </c>
      <c r="C49" s="2" t="s">
        <v>102</v>
      </c>
      <c r="D49" s="2" t="s">
        <v>695</v>
      </c>
      <c r="E49" s="2" t="s">
        <v>1</v>
      </c>
      <c r="F49" s="2" t="s">
        <v>700</v>
      </c>
      <c r="G49" s="2" t="s">
        <v>1</v>
      </c>
      <c r="H49" s="2">
        <v>198</v>
      </c>
      <c r="I49" s="2">
        <v>1.44</v>
      </c>
      <c r="M49" s="2" t="s">
        <v>2</v>
      </c>
      <c r="N49">
        <v>11</v>
      </c>
      <c r="R49">
        <f t="shared" si="0"/>
        <v>285.12</v>
      </c>
      <c r="S49">
        <v>7</v>
      </c>
    </row>
    <row r="50" spans="1:19" hidden="1" x14ac:dyDescent="0.2">
      <c r="A50" t="str">
        <f>"0341512"</f>
        <v>0341512</v>
      </c>
      <c r="B50" s="2" t="s">
        <v>103</v>
      </c>
      <c r="C50" s="2" t="s">
        <v>104</v>
      </c>
      <c r="D50" s="2" t="s">
        <v>695</v>
      </c>
      <c r="E50" s="2" t="s">
        <v>1</v>
      </c>
      <c r="F50" s="2" t="s">
        <v>700</v>
      </c>
      <c r="G50" s="2" t="s">
        <v>1</v>
      </c>
      <c r="H50" s="2">
        <v>198</v>
      </c>
      <c r="I50" s="2">
        <v>1.44</v>
      </c>
      <c r="M50" s="2" t="s">
        <v>2</v>
      </c>
      <c r="N50">
        <v>11</v>
      </c>
      <c r="R50">
        <f t="shared" si="0"/>
        <v>285.12</v>
      </c>
      <c r="S50">
        <v>7</v>
      </c>
    </row>
    <row r="51" spans="1:19" hidden="1" x14ac:dyDescent="0.2">
      <c r="A51" t="str">
        <f>"0341513"</f>
        <v>0341513</v>
      </c>
      <c r="B51" s="2" t="s">
        <v>105</v>
      </c>
      <c r="C51" s="2" t="s">
        <v>106</v>
      </c>
      <c r="D51" s="2" t="s">
        <v>695</v>
      </c>
      <c r="E51" s="2" t="s">
        <v>1</v>
      </c>
      <c r="F51" s="2" t="s">
        <v>700</v>
      </c>
      <c r="G51" s="2" t="s">
        <v>1</v>
      </c>
      <c r="H51" s="2">
        <v>198</v>
      </c>
      <c r="I51" s="2">
        <v>1.44</v>
      </c>
      <c r="M51" s="2" t="s">
        <v>2</v>
      </c>
      <c r="N51">
        <v>11</v>
      </c>
      <c r="R51">
        <f t="shared" si="0"/>
        <v>285.12</v>
      </c>
      <c r="S51">
        <v>7</v>
      </c>
    </row>
    <row r="52" spans="1:19" hidden="1" x14ac:dyDescent="0.2">
      <c r="A52" t="str">
        <f>"0341514"</f>
        <v>0341514</v>
      </c>
      <c r="B52" s="2" t="s">
        <v>107</v>
      </c>
      <c r="C52" s="2" t="s">
        <v>108</v>
      </c>
      <c r="D52" s="2" t="s">
        <v>695</v>
      </c>
      <c r="E52" s="2" t="s">
        <v>1</v>
      </c>
      <c r="F52" s="2" t="s">
        <v>700</v>
      </c>
      <c r="G52" s="2" t="s">
        <v>1</v>
      </c>
      <c r="H52" s="2">
        <v>198</v>
      </c>
      <c r="I52" s="2">
        <v>1.44</v>
      </c>
      <c r="M52" s="2" t="s">
        <v>2</v>
      </c>
      <c r="N52">
        <v>11</v>
      </c>
      <c r="R52">
        <f t="shared" si="0"/>
        <v>285.12</v>
      </c>
      <c r="S52">
        <v>7</v>
      </c>
    </row>
    <row r="53" spans="1:19" hidden="1" x14ac:dyDescent="0.2">
      <c r="A53" t="str">
        <f>"0341515"</f>
        <v>0341515</v>
      </c>
      <c r="B53" s="2" t="s">
        <v>109</v>
      </c>
      <c r="C53" s="2" t="s">
        <v>110</v>
      </c>
      <c r="D53" s="2" t="s">
        <v>695</v>
      </c>
      <c r="E53" s="2" t="s">
        <v>1</v>
      </c>
      <c r="F53" s="2" t="s">
        <v>700</v>
      </c>
      <c r="G53" s="2" t="s">
        <v>1</v>
      </c>
      <c r="H53" s="2">
        <v>240</v>
      </c>
      <c r="I53" s="2">
        <v>1.44</v>
      </c>
      <c r="M53" s="2" t="s">
        <v>2</v>
      </c>
      <c r="N53">
        <v>24</v>
      </c>
      <c r="R53">
        <f t="shared" si="0"/>
        <v>345.59999999999997</v>
      </c>
      <c r="S53">
        <v>7</v>
      </c>
    </row>
    <row r="54" spans="1:19" hidden="1" x14ac:dyDescent="0.2">
      <c r="A54" t="str">
        <f>"0341516"</f>
        <v>0341516</v>
      </c>
      <c r="B54" s="2" t="s">
        <v>111</v>
      </c>
      <c r="C54" s="2" t="s">
        <v>112</v>
      </c>
      <c r="D54" s="2" t="s">
        <v>695</v>
      </c>
      <c r="E54" s="2" t="s">
        <v>1</v>
      </c>
      <c r="F54" s="2" t="s">
        <v>700</v>
      </c>
      <c r="G54" s="2" t="s">
        <v>1</v>
      </c>
      <c r="H54" s="2">
        <v>240</v>
      </c>
      <c r="I54" s="2">
        <v>1.44</v>
      </c>
      <c r="M54" s="2" t="s">
        <v>2</v>
      </c>
      <c r="N54">
        <v>24</v>
      </c>
      <c r="R54">
        <f t="shared" si="0"/>
        <v>345.59999999999997</v>
      </c>
      <c r="S54">
        <v>7</v>
      </c>
    </row>
    <row r="55" spans="1:19" hidden="1" x14ac:dyDescent="0.2">
      <c r="A55" t="str">
        <f>"0341517"</f>
        <v>0341517</v>
      </c>
      <c r="B55" s="2" t="s">
        <v>113</v>
      </c>
      <c r="C55" s="2" t="s">
        <v>114</v>
      </c>
      <c r="D55" s="2" t="s">
        <v>695</v>
      </c>
      <c r="E55" s="2" t="s">
        <v>1</v>
      </c>
      <c r="F55" s="2" t="s">
        <v>700</v>
      </c>
      <c r="G55" s="2" t="s">
        <v>1</v>
      </c>
      <c r="H55" s="2">
        <v>240</v>
      </c>
      <c r="I55" s="2">
        <v>1.44</v>
      </c>
      <c r="M55" s="2" t="s">
        <v>2</v>
      </c>
      <c r="N55">
        <v>24</v>
      </c>
      <c r="R55">
        <f t="shared" si="0"/>
        <v>345.59999999999997</v>
      </c>
      <c r="S55">
        <v>7</v>
      </c>
    </row>
    <row r="56" spans="1:19" hidden="1" x14ac:dyDescent="0.2">
      <c r="A56" t="str">
        <f>"0341518"</f>
        <v>0341518</v>
      </c>
      <c r="B56" s="2" t="s">
        <v>115</v>
      </c>
      <c r="C56" s="2" t="s">
        <v>116</v>
      </c>
      <c r="D56" s="2" t="s">
        <v>695</v>
      </c>
      <c r="E56" s="2" t="s">
        <v>1</v>
      </c>
      <c r="F56" s="2" t="s">
        <v>700</v>
      </c>
      <c r="G56" s="2" t="s">
        <v>1</v>
      </c>
      <c r="H56" s="2">
        <v>240</v>
      </c>
      <c r="I56" s="2">
        <v>1.44</v>
      </c>
      <c r="M56" s="2" t="s">
        <v>2</v>
      </c>
      <c r="N56">
        <v>24</v>
      </c>
      <c r="R56">
        <f t="shared" si="0"/>
        <v>345.59999999999997</v>
      </c>
      <c r="S56">
        <v>7</v>
      </c>
    </row>
    <row r="57" spans="1:19" hidden="1" x14ac:dyDescent="0.2">
      <c r="A57" t="str">
        <f>"0341611"</f>
        <v>0341611</v>
      </c>
      <c r="B57" s="2" t="s">
        <v>117</v>
      </c>
      <c r="C57" s="2" t="s">
        <v>118</v>
      </c>
      <c r="D57" s="2" t="s">
        <v>695</v>
      </c>
      <c r="E57" s="2" t="s">
        <v>1</v>
      </c>
      <c r="F57" s="2" t="s">
        <v>700</v>
      </c>
      <c r="G57" s="2" t="s">
        <v>1</v>
      </c>
      <c r="H57" s="2">
        <v>198</v>
      </c>
      <c r="I57" s="2">
        <v>1.44</v>
      </c>
      <c r="M57" s="2" t="s">
        <v>2</v>
      </c>
      <c r="N57">
        <v>18</v>
      </c>
      <c r="R57">
        <f t="shared" si="0"/>
        <v>285.12</v>
      </c>
      <c r="S57">
        <v>7</v>
      </c>
    </row>
    <row r="58" spans="1:19" hidden="1" x14ac:dyDescent="0.2">
      <c r="A58" t="str">
        <f>"0341612"</f>
        <v>0341612</v>
      </c>
      <c r="B58" s="2" t="s">
        <v>119</v>
      </c>
      <c r="C58" s="2" t="s">
        <v>120</v>
      </c>
      <c r="D58" s="2" t="s">
        <v>695</v>
      </c>
      <c r="E58" s="2" t="s">
        <v>1</v>
      </c>
      <c r="F58" s="2" t="s">
        <v>700</v>
      </c>
      <c r="G58" s="2" t="s">
        <v>1</v>
      </c>
      <c r="H58" s="2">
        <v>154</v>
      </c>
      <c r="I58" s="2">
        <v>1.44</v>
      </c>
      <c r="M58" s="2" t="s">
        <v>2</v>
      </c>
      <c r="N58">
        <v>11</v>
      </c>
      <c r="R58">
        <f t="shared" si="0"/>
        <v>221.76</v>
      </c>
      <c r="S58">
        <v>7</v>
      </c>
    </row>
    <row r="59" spans="1:19" hidden="1" x14ac:dyDescent="0.2">
      <c r="A59" t="str">
        <f>"0341613"</f>
        <v>0341613</v>
      </c>
      <c r="B59" s="2" t="s">
        <v>121</v>
      </c>
      <c r="C59" s="2" t="s">
        <v>122</v>
      </c>
      <c r="D59" s="2" t="s">
        <v>695</v>
      </c>
      <c r="E59" s="2" t="s">
        <v>1</v>
      </c>
      <c r="F59" s="2" t="s">
        <v>700</v>
      </c>
      <c r="G59" s="2" t="s">
        <v>1</v>
      </c>
      <c r="H59" s="2">
        <v>154</v>
      </c>
      <c r="I59" s="2">
        <v>1.44</v>
      </c>
      <c r="M59" s="2" t="s">
        <v>2</v>
      </c>
      <c r="N59">
        <v>11</v>
      </c>
      <c r="R59">
        <f t="shared" si="0"/>
        <v>221.76</v>
      </c>
      <c r="S59">
        <v>7</v>
      </c>
    </row>
    <row r="60" spans="1:19" hidden="1" x14ac:dyDescent="0.2">
      <c r="A60" t="str">
        <f>"0341614"</f>
        <v>0341614</v>
      </c>
      <c r="B60" s="2" t="s">
        <v>123</v>
      </c>
      <c r="C60" s="2" t="s">
        <v>124</v>
      </c>
      <c r="D60" s="2" t="s">
        <v>695</v>
      </c>
      <c r="E60" s="2" t="s">
        <v>1</v>
      </c>
      <c r="F60" s="2" t="s">
        <v>700</v>
      </c>
      <c r="G60" s="2" t="s">
        <v>1</v>
      </c>
      <c r="H60" s="2">
        <v>154</v>
      </c>
      <c r="I60" s="2">
        <v>1.44</v>
      </c>
      <c r="M60" s="2" t="s">
        <v>2</v>
      </c>
      <c r="N60">
        <v>11</v>
      </c>
      <c r="R60">
        <f t="shared" si="0"/>
        <v>221.76</v>
      </c>
      <c r="S60">
        <v>7</v>
      </c>
    </row>
    <row r="61" spans="1:19" hidden="1" x14ac:dyDescent="0.2">
      <c r="A61" t="str">
        <f>"0341615"</f>
        <v>0341615</v>
      </c>
      <c r="B61" s="2" t="s">
        <v>125</v>
      </c>
      <c r="C61" s="2" t="s">
        <v>126</v>
      </c>
      <c r="D61" s="2" t="s">
        <v>695</v>
      </c>
      <c r="E61" s="2" t="s">
        <v>1</v>
      </c>
      <c r="F61" s="2" t="s">
        <v>700</v>
      </c>
      <c r="G61" s="2" t="s">
        <v>1</v>
      </c>
      <c r="H61" s="2">
        <v>240</v>
      </c>
      <c r="I61" s="2">
        <v>1.44</v>
      </c>
      <c r="M61" s="2" t="s">
        <v>2</v>
      </c>
      <c r="N61">
        <v>24</v>
      </c>
      <c r="R61">
        <f t="shared" si="0"/>
        <v>345.59999999999997</v>
      </c>
      <c r="S61">
        <v>7</v>
      </c>
    </row>
    <row r="62" spans="1:19" hidden="1" x14ac:dyDescent="0.2">
      <c r="A62" t="str">
        <f>"0341616"</f>
        <v>0341616</v>
      </c>
      <c r="B62" s="2" t="s">
        <v>127</v>
      </c>
      <c r="C62" s="2" t="s">
        <v>128</v>
      </c>
      <c r="D62" s="2" t="s">
        <v>695</v>
      </c>
      <c r="E62" s="2" t="s">
        <v>1</v>
      </c>
      <c r="F62" s="2" t="s">
        <v>700</v>
      </c>
      <c r="G62" s="2" t="s">
        <v>1</v>
      </c>
      <c r="H62" s="2">
        <v>198</v>
      </c>
      <c r="I62" s="2">
        <v>1.44</v>
      </c>
      <c r="M62" s="2" t="s">
        <v>2</v>
      </c>
      <c r="N62">
        <v>11</v>
      </c>
      <c r="R62">
        <f t="shared" si="0"/>
        <v>285.12</v>
      </c>
      <c r="S62">
        <v>7</v>
      </c>
    </row>
    <row r="63" spans="1:19" hidden="1" x14ac:dyDescent="0.2">
      <c r="A63" t="str">
        <f>"0341617"</f>
        <v>0341617</v>
      </c>
      <c r="B63" s="2" t="s">
        <v>129</v>
      </c>
      <c r="C63" s="2" t="s">
        <v>130</v>
      </c>
      <c r="D63" s="2" t="s">
        <v>695</v>
      </c>
      <c r="E63" s="2" t="s">
        <v>1</v>
      </c>
      <c r="F63" s="2" t="s">
        <v>700</v>
      </c>
      <c r="G63" s="2" t="s">
        <v>1</v>
      </c>
      <c r="H63" s="2">
        <v>240</v>
      </c>
      <c r="I63" s="2">
        <v>1.44</v>
      </c>
      <c r="M63" s="2" t="s">
        <v>2</v>
      </c>
      <c r="N63">
        <v>24</v>
      </c>
      <c r="R63">
        <f t="shared" si="0"/>
        <v>345.59999999999997</v>
      </c>
      <c r="S63">
        <v>7</v>
      </c>
    </row>
    <row r="64" spans="1:19" hidden="1" x14ac:dyDescent="0.2">
      <c r="A64" t="str">
        <f>"0341618"</f>
        <v>0341618</v>
      </c>
      <c r="B64" s="2" t="s">
        <v>131</v>
      </c>
      <c r="C64" s="2" t="s">
        <v>132</v>
      </c>
      <c r="D64" s="2" t="s">
        <v>695</v>
      </c>
      <c r="E64" s="2" t="s">
        <v>1</v>
      </c>
      <c r="F64" s="2" t="s">
        <v>700</v>
      </c>
      <c r="G64" s="2" t="s">
        <v>1</v>
      </c>
      <c r="H64" s="2">
        <v>240</v>
      </c>
      <c r="I64" s="2">
        <v>1.44</v>
      </c>
      <c r="M64" s="2" t="s">
        <v>2</v>
      </c>
      <c r="N64">
        <v>24</v>
      </c>
      <c r="R64">
        <f t="shared" si="0"/>
        <v>345.59999999999997</v>
      </c>
      <c r="S64">
        <v>7</v>
      </c>
    </row>
    <row r="65" spans="1:25" hidden="1" x14ac:dyDescent="0.2">
      <c r="A65" t="str">
        <f>"0341619"</f>
        <v>0341619</v>
      </c>
      <c r="B65" s="2" t="s">
        <v>133</v>
      </c>
      <c r="C65" s="2" t="s">
        <v>134</v>
      </c>
      <c r="D65" s="2" t="s">
        <v>695</v>
      </c>
      <c r="E65" s="2" t="s">
        <v>1</v>
      </c>
      <c r="F65" s="2" t="s">
        <v>700</v>
      </c>
      <c r="G65" s="2" t="s">
        <v>1</v>
      </c>
      <c r="H65" s="2">
        <v>240</v>
      </c>
      <c r="I65" s="2">
        <v>1.44</v>
      </c>
      <c r="M65" s="2" t="s">
        <v>2</v>
      </c>
      <c r="N65">
        <v>24</v>
      </c>
      <c r="R65">
        <f t="shared" si="0"/>
        <v>345.59999999999997</v>
      </c>
      <c r="S65">
        <v>7</v>
      </c>
    </row>
    <row r="66" spans="1:25" hidden="1" x14ac:dyDescent="0.2">
      <c r="A66" t="str">
        <f>"0341621"</f>
        <v>0341621</v>
      </c>
      <c r="B66" s="2" t="s">
        <v>135</v>
      </c>
      <c r="C66" s="2" t="s">
        <v>136</v>
      </c>
      <c r="D66" s="2" t="s">
        <v>695</v>
      </c>
      <c r="E66" s="2" t="s">
        <v>1</v>
      </c>
      <c r="F66" s="2" t="s">
        <v>700</v>
      </c>
      <c r="G66" s="2" t="s">
        <v>1</v>
      </c>
      <c r="H66" s="2">
        <v>240</v>
      </c>
      <c r="I66" s="2">
        <v>1.44</v>
      </c>
      <c r="M66" s="2" t="s">
        <v>2</v>
      </c>
      <c r="N66">
        <v>24</v>
      </c>
      <c r="R66">
        <f t="shared" si="0"/>
        <v>345.59999999999997</v>
      </c>
      <c r="S66">
        <v>7</v>
      </c>
    </row>
    <row r="67" spans="1:25" hidden="1" x14ac:dyDescent="0.2">
      <c r="A67" t="str">
        <f>"0341622"</f>
        <v>0341622</v>
      </c>
      <c r="B67" s="2" t="s">
        <v>137</v>
      </c>
      <c r="C67" s="2" t="s">
        <v>138</v>
      </c>
      <c r="D67" s="2" t="s">
        <v>695</v>
      </c>
      <c r="E67" s="2" t="s">
        <v>1</v>
      </c>
      <c r="F67" s="2" t="s">
        <v>700</v>
      </c>
      <c r="G67" s="2" t="s">
        <v>1</v>
      </c>
      <c r="H67" s="2">
        <v>240</v>
      </c>
      <c r="I67" s="2">
        <v>1.44</v>
      </c>
      <c r="M67" s="2" t="s">
        <v>2</v>
      </c>
      <c r="N67">
        <v>24</v>
      </c>
      <c r="R67">
        <f t="shared" ref="R67:R130" si="3">H67*I67</f>
        <v>345.59999999999997</v>
      </c>
      <c r="S67">
        <v>7</v>
      </c>
    </row>
    <row r="68" spans="1:25" hidden="1" x14ac:dyDescent="0.2">
      <c r="A68" t="str">
        <f>"0341623"</f>
        <v>0341623</v>
      </c>
      <c r="B68" s="2" t="s">
        <v>139</v>
      </c>
      <c r="C68" s="2" t="s">
        <v>140</v>
      </c>
      <c r="D68" s="2" t="s">
        <v>695</v>
      </c>
      <c r="E68" s="2" t="s">
        <v>1</v>
      </c>
      <c r="F68" s="2" t="s">
        <v>700</v>
      </c>
      <c r="G68" s="2" t="s">
        <v>1</v>
      </c>
      <c r="H68" s="2">
        <v>240</v>
      </c>
      <c r="I68" s="2">
        <v>1.44</v>
      </c>
      <c r="M68" s="2" t="s">
        <v>2</v>
      </c>
      <c r="N68">
        <v>24</v>
      </c>
      <c r="R68">
        <f t="shared" si="3"/>
        <v>345.59999999999997</v>
      </c>
      <c r="S68">
        <v>7</v>
      </c>
    </row>
    <row r="69" spans="1:25" hidden="1" x14ac:dyDescent="0.2">
      <c r="A69" t="str">
        <f>"0341624"</f>
        <v>0341624</v>
      </c>
      <c r="B69" s="2" t="s">
        <v>141</v>
      </c>
      <c r="C69" s="2" t="s">
        <v>142</v>
      </c>
      <c r="D69" s="2" t="s">
        <v>695</v>
      </c>
      <c r="E69" s="2" t="s">
        <v>1</v>
      </c>
      <c r="F69" s="2" t="s">
        <v>700</v>
      </c>
      <c r="G69" s="2" t="s">
        <v>1</v>
      </c>
      <c r="H69" s="2">
        <v>240</v>
      </c>
      <c r="I69" s="2">
        <v>1.44</v>
      </c>
      <c r="M69" s="2" t="s">
        <v>2</v>
      </c>
      <c r="N69">
        <v>24</v>
      </c>
      <c r="R69">
        <f t="shared" si="3"/>
        <v>345.59999999999997</v>
      </c>
      <c r="S69">
        <v>7</v>
      </c>
    </row>
    <row r="70" spans="1:25" hidden="1" x14ac:dyDescent="0.2">
      <c r="A70" t="str">
        <f>"0341625"</f>
        <v>0341625</v>
      </c>
      <c r="B70" s="2" t="s">
        <v>143</v>
      </c>
      <c r="C70" s="2" t="s">
        <v>144</v>
      </c>
      <c r="D70" s="2" t="s">
        <v>695</v>
      </c>
      <c r="E70" s="2" t="s">
        <v>1</v>
      </c>
      <c r="F70" s="2" t="s">
        <v>700</v>
      </c>
      <c r="G70" s="2" t="s">
        <v>1</v>
      </c>
      <c r="H70" s="2">
        <v>240</v>
      </c>
      <c r="I70" s="2">
        <v>1.44</v>
      </c>
      <c r="M70" s="2" t="s">
        <v>2</v>
      </c>
      <c r="N70">
        <v>24</v>
      </c>
      <c r="R70">
        <f t="shared" si="3"/>
        <v>345.59999999999997</v>
      </c>
      <c r="S70">
        <v>7</v>
      </c>
    </row>
    <row r="71" spans="1:25" hidden="1" x14ac:dyDescent="0.2">
      <c r="A71" t="str">
        <f>"0341626"</f>
        <v>0341626</v>
      </c>
      <c r="B71" s="2" t="s">
        <v>145</v>
      </c>
      <c r="C71" s="2" t="s">
        <v>146</v>
      </c>
      <c r="D71" s="2" t="s">
        <v>695</v>
      </c>
      <c r="E71" s="2" t="s">
        <v>1</v>
      </c>
      <c r="F71" s="2" t="s">
        <v>700</v>
      </c>
      <c r="G71" s="2" t="s">
        <v>1</v>
      </c>
      <c r="H71" s="2">
        <v>192</v>
      </c>
      <c r="I71" s="2">
        <v>1.44</v>
      </c>
      <c r="M71" s="2" t="s">
        <v>2</v>
      </c>
      <c r="N71">
        <v>24</v>
      </c>
      <c r="R71">
        <f t="shared" si="3"/>
        <v>276.48</v>
      </c>
      <c r="S71">
        <v>8</v>
      </c>
    </row>
    <row r="72" spans="1:25" hidden="1" x14ac:dyDescent="0.2">
      <c r="A72" t="str">
        <f>"0341627"</f>
        <v>0341627</v>
      </c>
      <c r="B72" s="2" t="s">
        <v>147</v>
      </c>
      <c r="C72" s="2" t="s">
        <v>148</v>
      </c>
      <c r="D72" s="2" t="s">
        <v>695</v>
      </c>
      <c r="E72" s="2" t="s">
        <v>1</v>
      </c>
      <c r="F72" s="2" t="s">
        <v>700</v>
      </c>
      <c r="G72" s="2" t="s">
        <v>1</v>
      </c>
      <c r="H72" s="2">
        <v>192</v>
      </c>
      <c r="I72" s="2">
        <v>1.44</v>
      </c>
      <c r="M72" s="2" t="s">
        <v>2</v>
      </c>
      <c r="N72">
        <v>24</v>
      </c>
      <c r="R72">
        <f t="shared" si="3"/>
        <v>276.48</v>
      </c>
      <c r="S72">
        <v>8</v>
      </c>
    </row>
    <row r="73" spans="1:25" x14ac:dyDescent="0.2">
      <c r="A73" t="str">
        <f>"0341628"</f>
        <v>0341628</v>
      </c>
      <c r="B73" s="2" t="s">
        <v>149</v>
      </c>
      <c r="C73" s="2" t="s">
        <v>150</v>
      </c>
      <c r="D73" s="2" t="s">
        <v>695</v>
      </c>
      <c r="E73" s="2" t="s">
        <v>50</v>
      </c>
      <c r="F73" s="2" t="s">
        <v>700</v>
      </c>
      <c r="G73" s="2" t="s">
        <v>50</v>
      </c>
      <c r="H73" s="2">
        <v>45</v>
      </c>
      <c r="I73" s="2">
        <v>3.456</v>
      </c>
      <c r="J73" s="2">
        <v>40</v>
      </c>
      <c r="K73" s="2">
        <v>30</v>
      </c>
      <c r="L73" s="2">
        <v>25</v>
      </c>
      <c r="M73" s="2" t="s">
        <v>2</v>
      </c>
      <c r="N73">
        <v>15</v>
      </c>
      <c r="R73">
        <f t="shared" si="3"/>
        <v>155.52000000000001</v>
      </c>
      <c r="S73">
        <v>8</v>
      </c>
      <c r="U73" t="s">
        <v>3</v>
      </c>
      <c r="V73" t="s">
        <v>2</v>
      </c>
      <c r="W73">
        <f t="shared" ref="W73:W74" si="4">S73</f>
        <v>8</v>
      </c>
      <c r="X73">
        <f t="shared" ref="X73:X74" si="5">R73+30</f>
        <v>185.52</v>
      </c>
      <c r="Y73" t="s">
        <v>3</v>
      </c>
    </row>
    <row r="74" spans="1:25" x14ac:dyDescent="0.2">
      <c r="A74" t="str">
        <f>"0341629"</f>
        <v>0341629</v>
      </c>
      <c r="B74" s="2" t="s">
        <v>151</v>
      </c>
      <c r="C74" s="2" t="s">
        <v>152</v>
      </c>
      <c r="D74" s="2" t="s">
        <v>695</v>
      </c>
      <c r="E74" s="2" t="s">
        <v>19</v>
      </c>
      <c r="F74" s="2" t="s">
        <v>700</v>
      </c>
      <c r="G74" s="2" t="s">
        <v>19</v>
      </c>
      <c r="H74" s="2">
        <v>5</v>
      </c>
      <c r="I74" s="2">
        <v>1</v>
      </c>
      <c r="J74" s="2">
        <v>40</v>
      </c>
      <c r="K74" s="2">
        <v>30</v>
      </c>
      <c r="L74" s="2">
        <v>25</v>
      </c>
      <c r="M74" s="2" t="s">
        <v>2</v>
      </c>
      <c r="N74">
        <v>5</v>
      </c>
      <c r="R74">
        <f t="shared" si="3"/>
        <v>5</v>
      </c>
      <c r="S74">
        <v>8</v>
      </c>
      <c r="U74" t="s">
        <v>3</v>
      </c>
      <c r="V74" t="s">
        <v>2</v>
      </c>
      <c r="W74">
        <f t="shared" si="4"/>
        <v>8</v>
      </c>
      <c r="X74">
        <f t="shared" si="5"/>
        <v>35</v>
      </c>
      <c r="Y74" t="s">
        <v>3</v>
      </c>
    </row>
    <row r="75" spans="1:25" hidden="1" x14ac:dyDescent="0.2">
      <c r="A75" t="str">
        <f>"0341661"</f>
        <v>0341661</v>
      </c>
      <c r="B75" s="2" t="s">
        <v>153</v>
      </c>
      <c r="C75" s="2" t="s">
        <v>154</v>
      </c>
      <c r="D75" s="2" t="s">
        <v>695</v>
      </c>
      <c r="E75" s="2" t="s">
        <v>155</v>
      </c>
      <c r="F75" s="2" t="s">
        <v>700</v>
      </c>
      <c r="G75" s="2" t="s">
        <v>155</v>
      </c>
      <c r="H75" s="2">
        <v>81</v>
      </c>
      <c r="I75" s="2">
        <v>4.8</v>
      </c>
      <c r="M75" s="2" t="s">
        <v>2</v>
      </c>
      <c r="N75">
        <v>9</v>
      </c>
      <c r="R75">
        <f t="shared" si="3"/>
        <v>388.8</v>
      </c>
      <c r="S75">
        <v>8</v>
      </c>
    </row>
    <row r="76" spans="1:25" hidden="1" x14ac:dyDescent="0.2">
      <c r="A76" t="str">
        <f>"0341662"</f>
        <v>0341662</v>
      </c>
      <c r="B76" s="2" t="s">
        <v>156</v>
      </c>
      <c r="C76" s="2" t="s">
        <v>157</v>
      </c>
      <c r="D76" s="2" t="s">
        <v>695</v>
      </c>
      <c r="E76" s="2" t="s">
        <v>155</v>
      </c>
      <c r="F76" s="2" t="s">
        <v>700</v>
      </c>
      <c r="G76" s="2" t="s">
        <v>155</v>
      </c>
      <c r="H76" s="2">
        <v>81</v>
      </c>
      <c r="I76" s="2">
        <v>4.8</v>
      </c>
      <c r="M76" s="2" t="s">
        <v>2</v>
      </c>
      <c r="N76">
        <v>9</v>
      </c>
      <c r="R76">
        <f t="shared" si="3"/>
        <v>388.8</v>
      </c>
      <c r="S76">
        <v>8</v>
      </c>
    </row>
    <row r="77" spans="1:25" hidden="1" x14ac:dyDescent="0.2">
      <c r="A77" t="str">
        <f>"0341663"</f>
        <v>0341663</v>
      </c>
      <c r="B77" s="2" t="s">
        <v>158</v>
      </c>
      <c r="C77" s="2" t="s">
        <v>159</v>
      </c>
      <c r="D77" s="2" t="s">
        <v>695</v>
      </c>
      <c r="E77" s="2" t="s">
        <v>155</v>
      </c>
      <c r="F77" s="2" t="s">
        <v>700</v>
      </c>
      <c r="G77" s="2" t="s">
        <v>155</v>
      </c>
      <c r="H77" s="2">
        <v>81</v>
      </c>
      <c r="I77" s="2">
        <v>4.8</v>
      </c>
      <c r="M77" s="2" t="s">
        <v>2</v>
      </c>
      <c r="N77">
        <v>9</v>
      </c>
      <c r="R77">
        <f t="shared" si="3"/>
        <v>388.8</v>
      </c>
      <c r="S77">
        <v>8</v>
      </c>
    </row>
    <row r="78" spans="1:25" hidden="1" x14ac:dyDescent="0.2">
      <c r="A78" t="str">
        <f>"0341664"</f>
        <v>0341664</v>
      </c>
      <c r="B78" s="2" t="s">
        <v>160</v>
      </c>
      <c r="C78" s="2" t="s">
        <v>161</v>
      </c>
      <c r="D78" s="2" t="s">
        <v>695</v>
      </c>
      <c r="E78" s="2" t="s">
        <v>155</v>
      </c>
      <c r="F78" s="2" t="s">
        <v>700</v>
      </c>
      <c r="G78" s="2" t="s">
        <v>155</v>
      </c>
      <c r="H78" s="2">
        <v>81</v>
      </c>
      <c r="I78" s="2">
        <v>4.8</v>
      </c>
      <c r="M78" s="2" t="s">
        <v>2</v>
      </c>
      <c r="N78">
        <v>9</v>
      </c>
      <c r="R78">
        <f t="shared" si="3"/>
        <v>388.8</v>
      </c>
      <c r="S78">
        <v>8</v>
      </c>
    </row>
    <row r="79" spans="1:25" hidden="1" x14ac:dyDescent="0.2">
      <c r="A79" t="str">
        <f>"0341671"</f>
        <v>0341671</v>
      </c>
      <c r="B79" s="2" t="s">
        <v>162</v>
      </c>
      <c r="C79" s="2" t="s">
        <v>163</v>
      </c>
      <c r="D79" s="2" t="s">
        <v>695</v>
      </c>
      <c r="E79" s="2" t="s">
        <v>19</v>
      </c>
      <c r="F79" s="2" t="s">
        <v>700</v>
      </c>
      <c r="G79" s="2" t="s">
        <v>19</v>
      </c>
      <c r="H79" s="2">
        <v>28</v>
      </c>
      <c r="I79" s="2">
        <v>3.6</v>
      </c>
      <c r="M79" s="2" t="s">
        <v>2</v>
      </c>
      <c r="N79">
        <v>4</v>
      </c>
      <c r="R79">
        <f t="shared" si="3"/>
        <v>100.8</v>
      </c>
      <c r="S79">
        <v>8</v>
      </c>
    </row>
    <row r="80" spans="1:25" hidden="1" x14ac:dyDescent="0.2">
      <c r="A80" t="str">
        <f>"0341673"</f>
        <v>0341673</v>
      </c>
      <c r="B80" s="2" t="s">
        <v>164</v>
      </c>
      <c r="C80" s="2" t="s">
        <v>165</v>
      </c>
      <c r="D80" s="2" t="s">
        <v>695</v>
      </c>
      <c r="E80" s="2" t="s">
        <v>19</v>
      </c>
      <c r="F80" s="2" t="s">
        <v>700</v>
      </c>
      <c r="G80" s="2" t="s">
        <v>19</v>
      </c>
      <c r="H80" s="2">
        <v>63</v>
      </c>
      <c r="I80" s="2">
        <v>4.8</v>
      </c>
      <c r="M80" s="2" t="s">
        <v>2</v>
      </c>
      <c r="N80">
        <v>9</v>
      </c>
      <c r="R80">
        <f t="shared" si="3"/>
        <v>302.39999999999998</v>
      </c>
      <c r="S80">
        <v>8</v>
      </c>
    </row>
    <row r="81" spans="1:25" hidden="1" x14ac:dyDescent="0.2">
      <c r="A81" t="str">
        <f>"0341674"</f>
        <v>0341674</v>
      </c>
      <c r="B81" s="2" t="s">
        <v>166</v>
      </c>
      <c r="C81" s="2" t="s">
        <v>167</v>
      </c>
      <c r="D81" s="2" t="s">
        <v>695</v>
      </c>
      <c r="E81" s="2" t="s">
        <v>19</v>
      </c>
      <c r="F81" s="2" t="s">
        <v>700</v>
      </c>
      <c r="G81" s="2" t="s">
        <v>19</v>
      </c>
      <c r="H81" s="2">
        <v>63</v>
      </c>
      <c r="I81" s="2">
        <v>4.8</v>
      </c>
      <c r="M81" s="2" t="s">
        <v>2</v>
      </c>
      <c r="N81">
        <v>9</v>
      </c>
      <c r="R81">
        <f t="shared" si="3"/>
        <v>302.39999999999998</v>
      </c>
      <c r="S81">
        <v>8</v>
      </c>
    </row>
    <row r="82" spans="1:25" hidden="1" x14ac:dyDescent="0.2">
      <c r="A82" t="str">
        <f>"0341675"</f>
        <v>0341675</v>
      </c>
      <c r="B82" s="2" t="s">
        <v>168</v>
      </c>
      <c r="C82" s="2" t="s">
        <v>169</v>
      </c>
      <c r="D82" s="2" t="s">
        <v>695</v>
      </c>
      <c r="E82" s="2" t="s">
        <v>19</v>
      </c>
      <c r="F82" s="2" t="s">
        <v>700</v>
      </c>
      <c r="G82" s="2" t="s">
        <v>19</v>
      </c>
      <c r="H82" s="2">
        <v>63</v>
      </c>
      <c r="I82" s="2">
        <v>4.8</v>
      </c>
      <c r="M82" s="2" t="s">
        <v>2</v>
      </c>
      <c r="N82">
        <v>9</v>
      </c>
      <c r="R82">
        <f t="shared" si="3"/>
        <v>302.39999999999998</v>
      </c>
      <c r="S82">
        <v>8</v>
      </c>
    </row>
    <row r="83" spans="1:25" hidden="1" x14ac:dyDescent="0.2">
      <c r="A83" t="str">
        <f>"0341676"</f>
        <v>0341676</v>
      </c>
      <c r="B83" s="2" t="s">
        <v>170</v>
      </c>
      <c r="C83" s="2" t="s">
        <v>171</v>
      </c>
      <c r="D83" s="2" t="s">
        <v>695</v>
      </c>
      <c r="E83" s="2" t="s">
        <v>19</v>
      </c>
      <c r="F83" s="2" t="s">
        <v>700</v>
      </c>
      <c r="G83" s="2" t="s">
        <v>19</v>
      </c>
      <c r="H83" s="2">
        <v>63</v>
      </c>
      <c r="I83" s="2">
        <v>4.8</v>
      </c>
      <c r="M83" s="2" t="s">
        <v>2</v>
      </c>
      <c r="N83">
        <v>9</v>
      </c>
      <c r="R83">
        <f t="shared" si="3"/>
        <v>302.39999999999998</v>
      </c>
      <c r="S83">
        <v>8</v>
      </c>
    </row>
    <row r="84" spans="1:25" hidden="1" x14ac:dyDescent="0.2">
      <c r="A84" t="str">
        <f>"0341691"</f>
        <v>0341691</v>
      </c>
      <c r="B84" s="2" t="s">
        <v>172</v>
      </c>
      <c r="C84" s="2" t="s">
        <v>173</v>
      </c>
      <c r="D84" s="2" t="s">
        <v>695</v>
      </c>
      <c r="E84" s="2" t="s">
        <v>1</v>
      </c>
      <c r="F84" s="2" t="s">
        <v>700</v>
      </c>
      <c r="G84" s="2" t="s">
        <v>1</v>
      </c>
      <c r="H84" s="2">
        <v>240</v>
      </c>
      <c r="I84" s="2">
        <v>1.44</v>
      </c>
      <c r="M84" s="2" t="s">
        <v>2</v>
      </c>
      <c r="N84">
        <v>24</v>
      </c>
      <c r="R84">
        <f t="shared" si="3"/>
        <v>345.59999999999997</v>
      </c>
      <c r="S84">
        <v>8</v>
      </c>
    </row>
    <row r="85" spans="1:25" hidden="1" x14ac:dyDescent="0.2">
      <c r="A85" t="str">
        <f>"0341692"</f>
        <v>0341692</v>
      </c>
      <c r="B85" s="2" t="s">
        <v>174</v>
      </c>
      <c r="C85" s="2" t="s">
        <v>175</v>
      </c>
      <c r="D85" s="2" t="s">
        <v>695</v>
      </c>
      <c r="E85" s="2" t="s">
        <v>1</v>
      </c>
      <c r="F85" s="2" t="s">
        <v>700</v>
      </c>
      <c r="G85" s="2" t="s">
        <v>1</v>
      </c>
      <c r="H85" s="2">
        <v>240</v>
      </c>
      <c r="I85" s="2">
        <v>1.44</v>
      </c>
      <c r="M85" s="2" t="s">
        <v>2</v>
      </c>
      <c r="N85">
        <v>24</v>
      </c>
      <c r="R85">
        <f t="shared" si="3"/>
        <v>345.59999999999997</v>
      </c>
      <c r="S85">
        <v>8</v>
      </c>
    </row>
    <row r="86" spans="1:25" hidden="1" x14ac:dyDescent="0.2">
      <c r="A86" t="str">
        <f>"0341901"</f>
        <v>0341901</v>
      </c>
      <c r="B86" s="2" t="s">
        <v>176</v>
      </c>
      <c r="C86" s="2" t="s">
        <v>177</v>
      </c>
      <c r="D86" s="2" t="s">
        <v>695</v>
      </c>
      <c r="E86" s="2" t="s">
        <v>19</v>
      </c>
      <c r="F86" s="2" t="s">
        <v>700</v>
      </c>
      <c r="G86" s="2" t="s">
        <v>19</v>
      </c>
      <c r="H86" s="2">
        <v>5</v>
      </c>
      <c r="I86" s="2">
        <v>11.52</v>
      </c>
      <c r="M86" s="2" t="s">
        <v>2</v>
      </c>
      <c r="N86">
        <v>5</v>
      </c>
      <c r="R86">
        <f t="shared" si="3"/>
        <v>57.599999999999994</v>
      </c>
      <c r="S86">
        <v>9</v>
      </c>
    </row>
    <row r="87" spans="1:25" x14ac:dyDescent="0.2">
      <c r="A87" t="str">
        <f>"0351006"</f>
        <v>0351006</v>
      </c>
      <c r="B87" s="2" t="s">
        <v>178</v>
      </c>
      <c r="C87" s="2" t="s">
        <v>179</v>
      </c>
      <c r="D87" s="2" t="s">
        <v>695</v>
      </c>
      <c r="E87" s="2" t="s">
        <v>180</v>
      </c>
      <c r="F87" s="2" t="s">
        <v>700</v>
      </c>
      <c r="G87" s="2" t="s">
        <v>180</v>
      </c>
      <c r="H87" s="2">
        <v>1</v>
      </c>
      <c r="I87" s="2">
        <v>475</v>
      </c>
      <c r="J87" s="2">
        <v>40</v>
      </c>
      <c r="K87" s="2">
        <v>30</v>
      </c>
      <c r="L87" s="2">
        <v>25</v>
      </c>
      <c r="M87" s="2" t="s">
        <v>2</v>
      </c>
      <c r="N87">
        <v>1</v>
      </c>
      <c r="R87">
        <f t="shared" si="3"/>
        <v>475</v>
      </c>
      <c r="S87">
        <v>9</v>
      </c>
      <c r="U87" t="s">
        <v>3</v>
      </c>
      <c r="V87" t="s">
        <v>2</v>
      </c>
      <c r="W87">
        <f t="shared" ref="W87:W93" si="6">S87</f>
        <v>9</v>
      </c>
      <c r="X87">
        <f t="shared" ref="X87:X93" si="7">R87+30</f>
        <v>505</v>
      </c>
      <c r="Y87" t="s">
        <v>3</v>
      </c>
    </row>
    <row r="88" spans="1:25" x14ac:dyDescent="0.2">
      <c r="A88" t="str">
        <f>"0351007"</f>
        <v>0351007</v>
      </c>
      <c r="B88" s="2" t="s">
        <v>181</v>
      </c>
      <c r="C88" s="2" t="s">
        <v>182</v>
      </c>
      <c r="D88" s="2" t="s">
        <v>695</v>
      </c>
      <c r="E88" s="2" t="s">
        <v>155</v>
      </c>
      <c r="F88" s="2" t="s">
        <v>700</v>
      </c>
      <c r="G88" s="2" t="s">
        <v>19</v>
      </c>
      <c r="H88" s="2">
        <v>1</v>
      </c>
      <c r="I88" s="2">
        <v>1</v>
      </c>
      <c r="J88" s="2">
        <v>40</v>
      </c>
      <c r="K88" s="2">
        <v>30</v>
      </c>
      <c r="L88" s="2">
        <v>25</v>
      </c>
      <c r="M88" s="2" t="s">
        <v>2</v>
      </c>
      <c r="N88">
        <v>7</v>
      </c>
      <c r="R88">
        <f t="shared" si="3"/>
        <v>1</v>
      </c>
      <c r="S88">
        <v>9</v>
      </c>
      <c r="U88" t="s">
        <v>3</v>
      </c>
      <c r="V88" t="s">
        <v>2</v>
      </c>
      <c r="W88">
        <f t="shared" si="6"/>
        <v>9</v>
      </c>
      <c r="X88">
        <f t="shared" si="7"/>
        <v>31</v>
      </c>
      <c r="Y88" t="s">
        <v>3</v>
      </c>
    </row>
    <row r="89" spans="1:25" x14ac:dyDescent="0.2">
      <c r="A89" t="str">
        <f>"0351008"</f>
        <v>0351008</v>
      </c>
      <c r="B89" s="2" t="s">
        <v>183</v>
      </c>
      <c r="C89" s="2" t="s">
        <v>184</v>
      </c>
      <c r="D89" s="2" t="s">
        <v>695</v>
      </c>
      <c r="E89" s="2" t="s">
        <v>180</v>
      </c>
      <c r="F89" s="2" t="s">
        <v>700</v>
      </c>
      <c r="G89" s="2" t="s">
        <v>180</v>
      </c>
      <c r="H89" s="2">
        <v>1</v>
      </c>
      <c r="I89" s="2">
        <v>180</v>
      </c>
      <c r="J89" s="2">
        <v>40</v>
      </c>
      <c r="K89" s="2">
        <v>30</v>
      </c>
      <c r="L89" s="2">
        <v>25</v>
      </c>
      <c r="M89" s="2" t="s">
        <v>2</v>
      </c>
      <c r="N89">
        <v>1</v>
      </c>
      <c r="R89">
        <f t="shared" si="3"/>
        <v>180</v>
      </c>
      <c r="S89">
        <v>9</v>
      </c>
      <c r="U89" t="s">
        <v>3</v>
      </c>
      <c r="V89" t="s">
        <v>2</v>
      </c>
      <c r="W89">
        <f t="shared" si="6"/>
        <v>9</v>
      </c>
      <c r="X89">
        <f t="shared" si="7"/>
        <v>210</v>
      </c>
      <c r="Y89" t="s">
        <v>3</v>
      </c>
    </row>
    <row r="90" spans="1:25" x14ac:dyDescent="0.2">
      <c r="A90" t="str">
        <f>"0351030"</f>
        <v>0351030</v>
      </c>
      <c r="B90" s="2" t="s">
        <v>185</v>
      </c>
      <c r="C90" s="2" t="s">
        <v>186</v>
      </c>
      <c r="D90" s="2" t="s">
        <v>695</v>
      </c>
      <c r="E90" s="2" t="s">
        <v>19</v>
      </c>
      <c r="F90" s="2" t="s">
        <v>700</v>
      </c>
      <c r="G90" s="2" t="s">
        <v>16</v>
      </c>
      <c r="H90" s="2">
        <v>28</v>
      </c>
      <c r="I90" s="2">
        <v>4.2</v>
      </c>
      <c r="J90" s="2">
        <v>40</v>
      </c>
      <c r="K90" s="2">
        <v>30</v>
      </c>
      <c r="L90" s="2">
        <v>25</v>
      </c>
      <c r="M90" s="2" t="s">
        <v>2</v>
      </c>
      <c r="N90">
        <v>4</v>
      </c>
      <c r="R90">
        <f t="shared" si="3"/>
        <v>117.60000000000001</v>
      </c>
      <c r="S90">
        <v>9</v>
      </c>
      <c r="U90" t="s">
        <v>3</v>
      </c>
      <c r="V90" t="s">
        <v>2</v>
      </c>
      <c r="W90">
        <f t="shared" si="6"/>
        <v>9</v>
      </c>
      <c r="X90">
        <f t="shared" si="7"/>
        <v>147.60000000000002</v>
      </c>
      <c r="Y90" t="s">
        <v>3</v>
      </c>
    </row>
    <row r="91" spans="1:25" x14ac:dyDescent="0.2">
      <c r="A91" t="str">
        <f>"0351041"</f>
        <v>0351041</v>
      </c>
      <c r="B91" s="2" t="s">
        <v>187</v>
      </c>
      <c r="C91" s="2" t="s">
        <v>188</v>
      </c>
      <c r="D91" s="2" t="s">
        <v>695</v>
      </c>
      <c r="E91" s="2" t="s">
        <v>155</v>
      </c>
      <c r="F91" s="2" t="s">
        <v>700</v>
      </c>
      <c r="G91" s="2" t="s">
        <v>155</v>
      </c>
      <c r="H91" s="2">
        <v>1</v>
      </c>
      <c r="I91" s="2">
        <v>257</v>
      </c>
      <c r="J91" s="2">
        <v>40</v>
      </c>
      <c r="K91" s="2">
        <v>30</v>
      </c>
      <c r="L91" s="2">
        <v>25</v>
      </c>
      <c r="M91" s="2" t="s">
        <v>2</v>
      </c>
      <c r="N91">
        <v>1</v>
      </c>
      <c r="R91">
        <f t="shared" si="3"/>
        <v>257</v>
      </c>
      <c r="S91">
        <v>9</v>
      </c>
      <c r="U91" t="s">
        <v>3</v>
      </c>
      <c r="V91" t="s">
        <v>2</v>
      </c>
      <c r="W91">
        <f t="shared" si="6"/>
        <v>9</v>
      </c>
      <c r="X91">
        <f t="shared" si="7"/>
        <v>287</v>
      </c>
      <c r="Y91" t="s">
        <v>3</v>
      </c>
    </row>
    <row r="92" spans="1:25" x14ac:dyDescent="0.2">
      <c r="A92" t="str">
        <f>"0351042"</f>
        <v>0351042</v>
      </c>
      <c r="B92" s="2" t="s">
        <v>189</v>
      </c>
      <c r="C92" s="2" t="s">
        <v>190</v>
      </c>
      <c r="D92" s="2" t="s">
        <v>695</v>
      </c>
      <c r="E92" s="2" t="s">
        <v>155</v>
      </c>
      <c r="F92" s="2" t="s">
        <v>700</v>
      </c>
      <c r="G92" s="2" t="s">
        <v>155</v>
      </c>
      <c r="H92" s="2">
        <v>1</v>
      </c>
      <c r="I92" s="2">
        <v>257</v>
      </c>
      <c r="J92" s="2">
        <v>40</v>
      </c>
      <c r="K92" s="2">
        <v>30</v>
      </c>
      <c r="L92" s="2">
        <v>25</v>
      </c>
      <c r="M92" s="2" t="s">
        <v>2</v>
      </c>
      <c r="N92">
        <v>1</v>
      </c>
      <c r="R92">
        <f t="shared" si="3"/>
        <v>257</v>
      </c>
      <c r="S92">
        <v>9</v>
      </c>
      <c r="U92" t="s">
        <v>3</v>
      </c>
      <c r="V92" t="s">
        <v>2</v>
      </c>
      <c r="W92">
        <f t="shared" si="6"/>
        <v>9</v>
      </c>
      <c r="X92">
        <f t="shared" si="7"/>
        <v>287</v>
      </c>
      <c r="Y92" t="s">
        <v>3</v>
      </c>
    </row>
    <row r="93" spans="1:25" x14ac:dyDescent="0.2">
      <c r="A93" t="str">
        <f>"0715102"</f>
        <v>0715102</v>
      </c>
      <c r="B93" s="2" t="s">
        <v>191</v>
      </c>
      <c r="C93" s="2" t="s">
        <v>192</v>
      </c>
      <c r="D93" s="2" t="s">
        <v>695</v>
      </c>
      <c r="E93" s="2" t="s">
        <v>16</v>
      </c>
      <c r="F93" s="2" t="s">
        <v>700</v>
      </c>
      <c r="G93" s="2" t="s">
        <v>16</v>
      </c>
      <c r="H93" s="2">
        <v>75</v>
      </c>
      <c r="I93" s="2">
        <v>2.4</v>
      </c>
      <c r="J93" s="2">
        <v>40</v>
      </c>
      <c r="K93" s="2">
        <v>30</v>
      </c>
      <c r="L93" s="2">
        <v>25</v>
      </c>
      <c r="M93" s="2" t="s">
        <v>2</v>
      </c>
      <c r="N93">
        <v>15</v>
      </c>
      <c r="R93">
        <f t="shared" si="3"/>
        <v>180</v>
      </c>
      <c r="S93">
        <v>9</v>
      </c>
      <c r="U93" t="s">
        <v>3</v>
      </c>
      <c r="V93" t="s">
        <v>2</v>
      </c>
      <c r="W93">
        <f t="shared" si="6"/>
        <v>9</v>
      </c>
      <c r="X93">
        <f t="shared" si="7"/>
        <v>210</v>
      </c>
      <c r="Y93" t="s">
        <v>3</v>
      </c>
    </row>
    <row r="94" spans="1:25" hidden="1" x14ac:dyDescent="0.2">
      <c r="A94" t="str">
        <f>"0715201"</f>
        <v>0715201</v>
      </c>
      <c r="B94" s="2" t="s">
        <v>193</v>
      </c>
      <c r="C94" s="2" t="s">
        <v>194</v>
      </c>
      <c r="D94" s="2" t="s">
        <v>695</v>
      </c>
      <c r="E94" s="2" t="s">
        <v>155</v>
      </c>
      <c r="F94" s="2" t="s">
        <v>700</v>
      </c>
      <c r="G94" s="2" t="s">
        <v>155</v>
      </c>
      <c r="H94" s="2">
        <v>50</v>
      </c>
      <c r="I94" s="2">
        <v>5.28</v>
      </c>
      <c r="M94" s="2" t="s">
        <v>2</v>
      </c>
      <c r="N94">
        <v>10</v>
      </c>
      <c r="R94">
        <f t="shared" si="3"/>
        <v>264</v>
      </c>
      <c r="S94">
        <v>9</v>
      </c>
    </row>
    <row r="95" spans="1:25" hidden="1" x14ac:dyDescent="0.2">
      <c r="A95">
        <v>1985001</v>
      </c>
      <c r="B95" s="2" t="s">
        <v>195</v>
      </c>
      <c r="C95" s="2" t="s">
        <v>196</v>
      </c>
      <c r="D95" s="2" t="s">
        <v>696</v>
      </c>
      <c r="E95" s="2" t="s">
        <v>16</v>
      </c>
      <c r="F95" s="2" t="s">
        <v>701</v>
      </c>
      <c r="G95" s="2" t="s">
        <v>16</v>
      </c>
      <c r="H95" s="2">
        <v>72</v>
      </c>
      <c r="I95" s="2">
        <v>1.8</v>
      </c>
      <c r="M95" s="2" t="s">
        <v>2</v>
      </c>
      <c r="N95">
        <v>9</v>
      </c>
      <c r="R95">
        <f t="shared" si="3"/>
        <v>129.6</v>
      </c>
      <c r="S95">
        <v>9</v>
      </c>
    </row>
    <row r="96" spans="1:25" hidden="1" x14ac:dyDescent="0.2">
      <c r="A96">
        <v>1985002</v>
      </c>
      <c r="B96" s="2" t="s">
        <v>197</v>
      </c>
      <c r="C96" s="2" t="s">
        <v>198</v>
      </c>
      <c r="D96" s="2" t="s">
        <v>696</v>
      </c>
      <c r="E96" s="2" t="s">
        <v>16</v>
      </c>
      <c r="F96" s="2" t="s">
        <v>701</v>
      </c>
      <c r="G96" s="2" t="s">
        <v>16</v>
      </c>
      <c r="H96" s="2">
        <v>72</v>
      </c>
      <c r="I96" s="2">
        <v>1.8</v>
      </c>
      <c r="M96" s="2" t="s">
        <v>2</v>
      </c>
      <c r="N96">
        <v>9</v>
      </c>
      <c r="R96">
        <f t="shared" si="3"/>
        <v>129.6</v>
      </c>
      <c r="S96">
        <v>9</v>
      </c>
    </row>
    <row r="97" spans="1:19" hidden="1" x14ac:dyDescent="0.2">
      <c r="A97">
        <v>1985020</v>
      </c>
      <c r="B97" s="2" t="s">
        <v>199</v>
      </c>
      <c r="C97" s="2" t="s">
        <v>200</v>
      </c>
      <c r="D97" s="2" t="s">
        <v>696</v>
      </c>
      <c r="E97" s="2" t="s">
        <v>16</v>
      </c>
      <c r="F97" s="2" t="s">
        <v>701</v>
      </c>
      <c r="G97" s="2" t="s">
        <v>16</v>
      </c>
      <c r="H97" s="2">
        <v>108</v>
      </c>
      <c r="I97" s="2">
        <v>0.36</v>
      </c>
      <c r="M97" s="2" t="s">
        <v>2</v>
      </c>
      <c r="N97">
        <v>18</v>
      </c>
      <c r="R97">
        <f t="shared" si="3"/>
        <v>38.879999999999995</v>
      </c>
      <c r="S97">
        <v>9</v>
      </c>
    </row>
    <row r="98" spans="1:19" hidden="1" x14ac:dyDescent="0.2">
      <c r="A98">
        <v>1985021</v>
      </c>
      <c r="B98" s="2" t="s">
        <v>201</v>
      </c>
      <c r="C98" s="2" t="s">
        <v>202</v>
      </c>
      <c r="D98" s="2" t="s">
        <v>696</v>
      </c>
      <c r="E98" s="2" t="s">
        <v>16</v>
      </c>
      <c r="F98" s="2" t="s">
        <v>701</v>
      </c>
      <c r="G98" s="2" t="s">
        <v>16</v>
      </c>
      <c r="H98" s="2">
        <v>189</v>
      </c>
      <c r="I98" s="2">
        <v>0.45</v>
      </c>
      <c r="M98" s="2" t="s">
        <v>2</v>
      </c>
      <c r="N98">
        <v>21</v>
      </c>
      <c r="R98">
        <f t="shared" si="3"/>
        <v>85.05</v>
      </c>
      <c r="S98">
        <v>9</v>
      </c>
    </row>
    <row r="99" spans="1:19" hidden="1" x14ac:dyDescent="0.2">
      <c r="A99">
        <v>1985030</v>
      </c>
      <c r="B99" s="2" t="s">
        <v>203</v>
      </c>
      <c r="C99" s="2" t="s">
        <v>204</v>
      </c>
      <c r="D99" s="2" t="s">
        <v>696</v>
      </c>
      <c r="E99" s="2" t="s">
        <v>16</v>
      </c>
      <c r="F99" s="2" t="s">
        <v>701</v>
      </c>
      <c r="G99" s="2" t="s">
        <v>16</v>
      </c>
      <c r="H99" s="2">
        <v>198</v>
      </c>
      <c r="I99" s="2">
        <v>0.6</v>
      </c>
      <c r="M99" s="2" t="s">
        <v>2</v>
      </c>
      <c r="N99">
        <v>18</v>
      </c>
      <c r="R99">
        <f t="shared" si="3"/>
        <v>118.8</v>
      </c>
      <c r="S99">
        <v>9</v>
      </c>
    </row>
    <row r="100" spans="1:19" hidden="1" x14ac:dyDescent="0.2">
      <c r="A100">
        <v>1985031</v>
      </c>
      <c r="B100" s="2" t="s">
        <v>205</v>
      </c>
      <c r="C100" s="2" t="s">
        <v>206</v>
      </c>
      <c r="D100" s="2" t="s">
        <v>696</v>
      </c>
      <c r="E100" s="2" t="s">
        <v>16</v>
      </c>
      <c r="F100" s="2" t="s">
        <v>701</v>
      </c>
      <c r="G100" s="2" t="s">
        <v>16</v>
      </c>
      <c r="H100" s="2">
        <v>96</v>
      </c>
      <c r="I100" s="2">
        <v>1.2</v>
      </c>
      <c r="M100" s="2" t="s">
        <v>2</v>
      </c>
      <c r="N100">
        <v>12</v>
      </c>
      <c r="R100">
        <f t="shared" si="3"/>
        <v>115.19999999999999</v>
      </c>
      <c r="S100">
        <v>9</v>
      </c>
    </row>
    <row r="101" spans="1:19" hidden="1" x14ac:dyDescent="0.2">
      <c r="A101">
        <v>1985032</v>
      </c>
      <c r="B101" s="2" t="s">
        <v>207</v>
      </c>
      <c r="C101" s="2" t="s">
        <v>208</v>
      </c>
      <c r="D101" s="2" t="s">
        <v>696</v>
      </c>
      <c r="E101" s="2" t="s">
        <v>16</v>
      </c>
      <c r="F101" s="2" t="s">
        <v>701</v>
      </c>
      <c r="G101" s="2" t="s">
        <v>16</v>
      </c>
      <c r="H101" s="2">
        <v>105</v>
      </c>
      <c r="I101" s="2">
        <v>0.48</v>
      </c>
      <c r="M101" s="2" t="s">
        <v>2</v>
      </c>
      <c r="N101">
        <v>15</v>
      </c>
      <c r="R101">
        <f t="shared" si="3"/>
        <v>50.4</v>
      </c>
      <c r="S101">
        <v>9</v>
      </c>
    </row>
    <row r="102" spans="1:19" hidden="1" x14ac:dyDescent="0.2">
      <c r="A102">
        <v>1985033</v>
      </c>
      <c r="B102" s="2" t="s">
        <v>209</v>
      </c>
      <c r="C102" s="2" t="s">
        <v>210</v>
      </c>
      <c r="D102" s="2" t="s">
        <v>696</v>
      </c>
      <c r="E102" s="2" t="s">
        <v>16</v>
      </c>
      <c r="F102" s="2" t="s">
        <v>701</v>
      </c>
      <c r="G102" s="2" t="s">
        <v>16</v>
      </c>
      <c r="H102" s="2">
        <v>36</v>
      </c>
      <c r="I102" s="2">
        <v>1.92</v>
      </c>
      <c r="M102" s="2" t="s">
        <v>2</v>
      </c>
      <c r="N102">
        <v>6</v>
      </c>
      <c r="R102">
        <f t="shared" si="3"/>
        <v>69.12</v>
      </c>
      <c r="S102">
        <v>9</v>
      </c>
    </row>
    <row r="103" spans="1:19" hidden="1" x14ac:dyDescent="0.2">
      <c r="A103">
        <v>1985034</v>
      </c>
      <c r="B103" s="2" t="s">
        <v>211</v>
      </c>
      <c r="C103" s="2" t="s">
        <v>212</v>
      </c>
      <c r="D103" s="2" t="s">
        <v>696</v>
      </c>
      <c r="E103" s="2" t="s">
        <v>16</v>
      </c>
      <c r="F103" s="2" t="s">
        <v>701</v>
      </c>
      <c r="G103" s="2" t="s">
        <v>16</v>
      </c>
      <c r="H103" s="2">
        <v>171</v>
      </c>
      <c r="I103" s="2">
        <v>0.48</v>
      </c>
      <c r="M103" s="2" t="s">
        <v>2</v>
      </c>
      <c r="N103">
        <v>19</v>
      </c>
      <c r="R103">
        <f t="shared" si="3"/>
        <v>82.08</v>
      </c>
      <c r="S103">
        <v>9</v>
      </c>
    </row>
    <row r="104" spans="1:19" hidden="1" x14ac:dyDescent="0.2">
      <c r="A104">
        <v>1985035</v>
      </c>
      <c r="B104" s="2" t="s">
        <v>213</v>
      </c>
      <c r="C104" s="2" t="s">
        <v>214</v>
      </c>
      <c r="D104" s="2" t="s">
        <v>696</v>
      </c>
      <c r="E104" s="2" t="s">
        <v>16</v>
      </c>
      <c r="F104" s="2" t="s">
        <v>701</v>
      </c>
      <c r="G104" s="2" t="s">
        <v>16</v>
      </c>
      <c r="H104" s="2">
        <v>81</v>
      </c>
      <c r="I104" s="2">
        <v>1.92</v>
      </c>
      <c r="M104" s="2" t="s">
        <v>2</v>
      </c>
      <c r="N104">
        <v>9</v>
      </c>
      <c r="R104">
        <f t="shared" si="3"/>
        <v>155.51999999999998</v>
      </c>
      <c r="S104">
        <v>9</v>
      </c>
    </row>
    <row r="105" spans="1:19" hidden="1" x14ac:dyDescent="0.2">
      <c r="A105">
        <v>1985041</v>
      </c>
      <c r="B105" s="2" t="s">
        <v>215</v>
      </c>
      <c r="C105" s="2" t="s">
        <v>216</v>
      </c>
      <c r="D105" s="2" t="s">
        <v>696</v>
      </c>
      <c r="E105" s="2" t="s">
        <v>16</v>
      </c>
      <c r="F105" s="2" t="s">
        <v>701</v>
      </c>
      <c r="G105" s="2" t="s">
        <v>16</v>
      </c>
      <c r="H105" s="2">
        <v>1</v>
      </c>
      <c r="I105" s="2">
        <v>0.9</v>
      </c>
      <c r="M105" s="2" t="s">
        <v>2</v>
      </c>
      <c r="R105">
        <f t="shared" si="3"/>
        <v>0.9</v>
      </c>
      <c r="S105">
        <v>9</v>
      </c>
    </row>
    <row r="106" spans="1:19" hidden="1" x14ac:dyDescent="0.2">
      <c r="A106">
        <v>1985042</v>
      </c>
      <c r="B106" s="2" t="s">
        <v>217</v>
      </c>
      <c r="C106" s="2" t="s">
        <v>218</v>
      </c>
      <c r="D106" s="2" t="s">
        <v>696</v>
      </c>
      <c r="E106" s="2" t="s">
        <v>16</v>
      </c>
      <c r="F106" s="2" t="s">
        <v>701</v>
      </c>
      <c r="G106" s="2" t="s">
        <v>16</v>
      </c>
      <c r="H106" s="2">
        <v>81</v>
      </c>
      <c r="I106" s="2">
        <v>12</v>
      </c>
      <c r="M106" s="2" t="s">
        <v>2</v>
      </c>
      <c r="N106">
        <v>9</v>
      </c>
      <c r="R106">
        <f t="shared" si="3"/>
        <v>972</v>
      </c>
      <c r="S106">
        <v>9</v>
      </c>
    </row>
    <row r="107" spans="1:19" hidden="1" x14ac:dyDescent="0.2">
      <c r="A107">
        <v>1985043</v>
      </c>
      <c r="B107" s="2" t="s">
        <v>219</v>
      </c>
      <c r="C107" s="2" t="s">
        <v>220</v>
      </c>
      <c r="D107" s="2" t="s">
        <v>696</v>
      </c>
      <c r="E107" s="2" t="s">
        <v>16</v>
      </c>
      <c r="F107" s="2" t="s">
        <v>701</v>
      </c>
      <c r="G107" s="2" t="s">
        <v>16</v>
      </c>
      <c r="H107" s="2">
        <v>170</v>
      </c>
      <c r="I107" s="2">
        <v>0.36</v>
      </c>
      <c r="M107" s="2" t="s">
        <v>2</v>
      </c>
      <c r="N107">
        <v>17</v>
      </c>
      <c r="R107">
        <f t="shared" si="3"/>
        <v>61.199999999999996</v>
      </c>
      <c r="S107">
        <v>9</v>
      </c>
    </row>
    <row r="108" spans="1:19" hidden="1" x14ac:dyDescent="0.2">
      <c r="A108">
        <v>1985044</v>
      </c>
      <c r="B108" s="2" t="s">
        <v>221</v>
      </c>
      <c r="C108" s="2" t="s">
        <v>222</v>
      </c>
      <c r="D108" s="2" t="s">
        <v>696</v>
      </c>
      <c r="E108" s="2" t="s">
        <v>16</v>
      </c>
      <c r="F108" s="2" t="s">
        <v>701</v>
      </c>
      <c r="G108" s="2" t="s">
        <v>16</v>
      </c>
      <c r="H108" s="2">
        <v>189</v>
      </c>
      <c r="I108" s="2">
        <v>0.312</v>
      </c>
      <c r="M108" s="2" t="s">
        <v>2</v>
      </c>
      <c r="N108">
        <v>21</v>
      </c>
      <c r="R108">
        <f t="shared" si="3"/>
        <v>58.967999999999996</v>
      </c>
      <c r="S108">
        <v>9</v>
      </c>
    </row>
    <row r="109" spans="1:19" hidden="1" x14ac:dyDescent="0.2">
      <c r="A109">
        <v>1985045</v>
      </c>
      <c r="B109" s="2" t="s">
        <v>223</v>
      </c>
      <c r="C109" s="2" t="s">
        <v>224</v>
      </c>
      <c r="D109" s="2" t="s">
        <v>696</v>
      </c>
      <c r="E109" s="2" t="s">
        <v>16</v>
      </c>
      <c r="F109" s="2" t="s">
        <v>701</v>
      </c>
      <c r="G109" s="2" t="s">
        <v>16</v>
      </c>
      <c r="H109" s="2">
        <v>108</v>
      </c>
      <c r="I109" s="2">
        <v>0.312</v>
      </c>
      <c r="M109" s="2" t="s">
        <v>2</v>
      </c>
      <c r="N109">
        <v>18</v>
      </c>
      <c r="R109">
        <f t="shared" si="3"/>
        <v>33.695999999999998</v>
      </c>
      <c r="S109">
        <v>9</v>
      </c>
    </row>
    <row r="110" spans="1:19" hidden="1" x14ac:dyDescent="0.2">
      <c r="A110">
        <v>1985046</v>
      </c>
      <c r="B110" s="2" t="s">
        <v>225</v>
      </c>
      <c r="C110" s="2" t="s">
        <v>226</v>
      </c>
      <c r="D110" s="2" t="s">
        <v>696</v>
      </c>
      <c r="E110" s="2" t="s">
        <v>16</v>
      </c>
      <c r="F110" s="2" t="s">
        <v>701</v>
      </c>
      <c r="G110" s="2" t="s">
        <v>16</v>
      </c>
      <c r="H110" s="2">
        <v>170</v>
      </c>
      <c r="I110" s="2">
        <v>0.36</v>
      </c>
      <c r="M110" s="2" t="s">
        <v>2</v>
      </c>
      <c r="N110">
        <v>17</v>
      </c>
      <c r="R110">
        <f t="shared" si="3"/>
        <v>61.199999999999996</v>
      </c>
      <c r="S110">
        <v>9</v>
      </c>
    </row>
    <row r="111" spans="1:19" hidden="1" x14ac:dyDescent="0.2">
      <c r="A111">
        <v>1985047</v>
      </c>
      <c r="B111" s="2" t="s">
        <v>227</v>
      </c>
      <c r="C111" s="2" t="s">
        <v>228</v>
      </c>
      <c r="D111" s="2" t="s">
        <v>696</v>
      </c>
      <c r="E111" s="2" t="s">
        <v>16</v>
      </c>
      <c r="F111" s="2" t="s">
        <v>701</v>
      </c>
      <c r="G111" s="2" t="s">
        <v>16</v>
      </c>
      <c r="H111" s="2">
        <v>170</v>
      </c>
      <c r="I111" s="2">
        <v>0.432</v>
      </c>
      <c r="M111" s="2" t="s">
        <v>2</v>
      </c>
      <c r="N111">
        <v>17</v>
      </c>
      <c r="R111">
        <f t="shared" si="3"/>
        <v>73.44</v>
      </c>
      <c r="S111">
        <v>9</v>
      </c>
    </row>
    <row r="112" spans="1:19" hidden="1" x14ac:dyDescent="0.2">
      <c r="A112">
        <v>1985048</v>
      </c>
      <c r="B112" s="2" t="s">
        <v>229</v>
      </c>
      <c r="C112" s="2" t="s">
        <v>230</v>
      </c>
      <c r="D112" s="2" t="s">
        <v>696</v>
      </c>
      <c r="E112" s="2" t="s">
        <v>16</v>
      </c>
      <c r="F112" s="2" t="s">
        <v>701</v>
      </c>
      <c r="G112" s="2" t="s">
        <v>16</v>
      </c>
      <c r="H112" s="2">
        <v>108</v>
      </c>
      <c r="I112" s="2">
        <v>0.312</v>
      </c>
      <c r="M112" s="2" t="s">
        <v>2</v>
      </c>
      <c r="N112">
        <v>18</v>
      </c>
      <c r="R112">
        <f t="shared" si="3"/>
        <v>33.695999999999998</v>
      </c>
      <c r="S112">
        <v>9</v>
      </c>
    </row>
    <row r="113" spans="1:25" hidden="1" x14ac:dyDescent="0.2">
      <c r="A113">
        <v>1985049</v>
      </c>
      <c r="B113" s="2" t="s">
        <v>231</v>
      </c>
      <c r="C113" s="2" t="s">
        <v>232</v>
      </c>
      <c r="D113" s="2" t="s">
        <v>696</v>
      </c>
      <c r="E113" s="2" t="s">
        <v>16</v>
      </c>
      <c r="F113" s="2" t="s">
        <v>701</v>
      </c>
      <c r="G113" s="2" t="s">
        <v>16</v>
      </c>
      <c r="H113" s="2">
        <v>189</v>
      </c>
      <c r="I113" s="2">
        <v>0.312</v>
      </c>
      <c r="M113" s="2" t="s">
        <v>2</v>
      </c>
      <c r="N113">
        <v>21</v>
      </c>
      <c r="R113">
        <f t="shared" si="3"/>
        <v>58.967999999999996</v>
      </c>
      <c r="S113">
        <v>9</v>
      </c>
    </row>
    <row r="114" spans="1:25" hidden="1" x14ac:dyDescent="0.2">
      <c r="A114">
        <v>1985059</v>
      </c>
      <c r="B114" s="2" t="s">
        <v>233</v>
      </c>
      <c r="C114" s="2" t="s">
        <v>234</v>
      </c>
      <c r="D114" s="2" t="s">
        <v>696</v>
      </c>
      <c r="E114" s="2" t="s">
        <v>19</v>
      </c>
      <c r="F114" s="2" t="s">
        <v>701</v>
      </c>
      <c r="G114" s="2" t="s">
        <v>19</v>
      </c>
      <c r="H114" s="2">
        <v>81</v>
      </c>
      <c r="I114" s="2">
        <v>1.2</v>
      </c>
      <c r="M114" s="2" t="s">
        <v>3</v>
      </c>
      <c r="N114">
        <v>9</v>
      </c>
      <c r="R114">
        <f t="shared" si="3"/>
        <v>97.2</v>
      </c>
      <c r="S114">
        <v>9</v>
      </c>
    </row>
    <row r="115" spans="1:25" hidden="1" x14ac:dyDescent="0.2">
      <c r="A115">
        <v>1985143</v>
      </c>
      <c r="B115" s="2" t="s">
        <v>235</v>
      </c>
      <c r="C115" s="2" t="s">
        <v>236</v>
      </c>
      <c r="D115" s="2" t="s">
        <v>696</v>
      </c>
      <c r="E115" s="2" t="s">
        <v>16</v>
      </c>
      <c r="F115" s="2" t="s">
        <v>701</v>
      </c>
      <c r="G115" s="2" t="s">
        <v>16</v>
      </c>
      <c r="H115" s="2">
        <v>170</v>
      </c>
      <c r="I115" s="2">
        <v>0.36</v>
      </c>
      <c r="M115" s="2" t="s">
        <v>2</v>
      </c>
      <c r="N115">
        <v>17</v>
      </c>
      <c r="R115">
        <f t="shared" si="3"/>
        <v>61.199999999999996</v>
      </c>
      <c r="S115">
        <v>9</v>
      </c>
    </row>
    <row r="116" spans="1:25" hidden="1" x14ac:dyDescent="0.2">
      <c r="A116">
        <v>1985201</v>
      </c>
      <c r="B116" s="2" t="s">
        <v>237</v>
      </c>
      <c r="C116" s="2" t="s">
        <v>238</v>
      </c>
      <c r="D116" s="2" t="s">
        <v>696</v>
      </c>
      <c r="E116" s="2" t="s">
        <v>16</v>
      </c>
      <c r="F116" s="2" t="s">
        <v>701</v>
      </c>
      <c r="G116" s="2" t="s">
        <v>16</v>
      </c>
      <c r="H116" s="2">
        <v>120</v>
      </c>
      <c r="I116" s="2">
        <v>0.38400000000000001</v>
      </c>
      <c r="M116" s="2" t="s">
        <v>2</v>
      </c>
      <c r="N116">
        <v>12</v>
      </c>
      <c r="R116">
        <f t="shared" si="3"/>
        <v>46.08</v>
      </c>
      <c r="S116">
        <v>9</v>
      </c>
    </row>
    <row r="117" spans="1:25" hidden="1" x14ac:dyDescent="0.2">
      <c r="A117">
        <v>1985202</v>
      </c>
      <c r="B117" s="2" t="s">
        <v>239</v>
      </c>
      <c r="C117" s="2" t="s">
        <v>240</v>
      </c>
      <c r="D117" s="2" t="s">
        <v>696</v>
      </c>
      <c r="E117" s="2" t="s">
        <v>16</v>
      </c>
      <c r="F117" s="2" t="s">
        <v>701</v>
      </c>
      <c r="G117" s="2" t="s">
        <v>16</v>
      </c>
      <c r="H117" s="2">
        <v>120</v>
      </c>
      <c r="I117" s="2">
        <v>0.38400000000000001</v>
      </c>
      <c r="M117" s="2" t="s">
        <v>2</v>
      </c>
      <c r="N117">
        <v>12</v>
      </c>
      <c r="R117">
        <f t="shared" si="3"/>
        <v>46.08</v>
      </c>
      <c r="S117">
        <v>9</v>
      </c>
    </row>
    <row r="118" spans="1:25" hidden="1" x14ac:dyDescent="0.2">
      <c r="A118">
        <v>1985203</v>
      </c>
      <c r="B118" s="2" t="s">
        <v>241</v>
      </c>
      <c r="C118" s="2" t="s">
        <v>242</v>
      </c>
      <c r="D118" s="2" t="s">
        <v>696</v>
      </c>
      <c r="E118" s="2" t="s">
        <v>16</v>
      </c>
      <c r="F118" s="2" t="s">
        <v>701</v>
      </c>
      <c r="G118" s="2" t="s">
        <v>16</v>
      </c>
      <c r="H118" s="2">
        <v>120</v>
      </c>
      <c r="I118" s="2">
        <v>0.16800000000000001</v>
      </c>
      <c r="M118" s="2" t="s">
        <v>2</v>
      </c>
      <c r="N118">
        <v>12</v>
      </c>
      <c r="R118">
        <f t="shared" si="3"/>
        <v>20.16</v>
      </c>
      <c r="S118">
        <v>9</v>
      </c>
    </row>
    <row r="119" spans="1:25" hidden="1" x14ac:dyDescent="0.2">
      <c r="A119">
        <v>1985204</v>
      </c>
      <c r="B119" s="2" t="s">
        <v>243</v>
      </c>
      <c r="C119" s="2" t="s">
        <v>244</v>
      </c>
      <c r="D119" s="2" t="s">
        <v>696</v>
      </c>
      <c r="E119" s="2" t="s">
        <v>16</v>
      </c>
      <c r="F119" s="2" t="s">
        <v>701</v>
      </c>
      <c r="G119" s="2" t="s">
        <v>16</v>
      </c>
      <c r="H119" s="2">
        <v>120</v>
      </c>
      <c r="I119" s="2">
        <v>0.52800000000000002</v>
      </c>
      <c r="M119" s="2" t="s">
        <v>2</v>
      </c>
      <c r="N119">
        <v>12</v>
      </c>
      <c r="R119">
        <f t="shared" si="3"/>
        <v>63.36</v>
      </c>
      <c r="S119">
        <v>9</v>
      </c>
    </row>
    <row r="120" spans="1:25" hidden="1" x14ac:dyDescent="0.2">
      <c r="A120">
        <v>1985205</v>
      </c>
      <c r="B120" s="2" t="s">
        <v>245</v>
      </c>
      <c r="C120" s="2" t="s">
        <v>246</v>
      </c>
      <c r="D120" s="2" t="s">
        <v>696</v>
      </c>
      <c r="E120" s="2" t="s">
        <v>16</v>
      </c>
      <c r="F120" s="2" t="s">
        <v>701</v>
      </c>
      <c r="G120" s="2" t="s">
        <v>16</v>
      </c>
      <c r="H120" s="2">
        <v>120</v>
      </c>
      <c r="I120" s="2">
        <v>0.48</v>
      </c>
      <c r="M120" s="2" t="s">
        <v>2</v>
      </c>
      <c r="N120">
        <v>12</v>
      </c>
      <c r="R120">
        <f t="shared" si="3"/>
        <v>57.599999999999994</v>
      </c>
      <c r="S120">
        <v>9</v>
      </c>
    </row>
    <row r="121" spans="1:25" hidden="1" x14ac:dyDescent="0.2">
      <c r="A121">
        <v>1985206</v>
      </c>
      <c r="B121" s="2" t="s">
        <v>247</v>
      </c>
      <c r="C121" s="2" t="s">
        <v>248</v>
      </c>
      <c r="D121" s="2" t="s">
        <v>696</v>
      </c>
      <c r="E121" s="2" t="s">
        <v>16</v>
      </c>
      <c r="F121" s="2" t="s">
        <v>701</v>
      </c>
      <c r="G121" s="2" t="s">
        <v>16</v>
      </c>
      <c r="H121" s="2">
        <v>120</v>
      </c>
      <c r="I121" s="2">
        <v>0.48</v>
      </c>
      <c r="M121" s="2" t="s">
        <v>2</v>
      </c>
      <c r="N121">
        <v>12</v>
      </c>
      <c r="R121">
        <f t="shared" si="3"/>
        <v>57.599999999999994</v>
      </c>
      <c r="S121">
        <v>9</v>
      </c>
    </row>
    <row r="122" spans="1:25" hidden="1" x14ac:dyDescent="0.2">
      <c r="A122">
        <v>1985654</v>
      </c>
      <c r="B122" s="2" t="s">
        <v>249</v>
      </c>
      <c r="C122" s="2" t="s">
        <v>250</v>
      </c>
      <c r="D122" s="2" t="s">
        <v>696</v>
      </c>
      <c r="E122" s="2" t="s">
        <v>19</v>
      </c>
      <c r="F122" s="2" t="s">
        <v>701</v>
      </c>
      <c r="G122" s="2" t="s">
        <v>19</v>
      </c>
      <c r="H122" s="2">
        <v>16</v>
      </c>
      <c r="I122" s="2">
        <v>1</v>
      </c>
      <c r="M122" s="2" t="s">
        <v>2</v>
      </c>
      <c r="N122">
        <v>4</v>
      </c>
      <c r="R122">
        <f t="shared" si="3"/>
        <v>16</v>
      </c>
      <c r="S122">
        <v>9</v>
      </c>
    </row>
    <row r="123" spans="1:25" hidden="1" x14ac:dyDescent="0.2">
      <c r="A123">
        <v>1985655</v>
      </c>
      <c r="B123" s="2" t="s">
        <v>251</v>
      </c>
      <c r="C123" s="2" t="s">
        <v>252</v>
      </c>
      <c r="D123" s="2" t="s">
        <v>696</v>
      </c>
      <c r="E123" s="2" t="s">
        <v>19</v>
      </c>
      <c r="F123" s="2" t="s">
        <v>701</v>
      </c>
      <c r="G123" s="2" t="s">
        <v>19</v>
      </c>
      <c r="H123" s="2">
        <v>16</v>
      </c>
      <c r="I123" s="2">
        <v>1</v>
      </c>
      <c r="M123" s="2" t="s">
        <v>2</v>
      </c>
      <c r="N123">
        <v>4</v>
      </c>
      <c r="R123">
        <f t="shared" si="3"/>
        <v>16</v>
      </c>
      <c r="S123">
        <v>9</v>
      </c>
    </row>
    <row r="124" spans="1:25" hidden="1" x14ac:dyDescent="0.2">
      <c r="A124">
        <v>1985656</v>
      </c>
      <c r="B124" s="2" t="s">
        <v>253</v>
      </c>
      <c r="C124" s="2" t="s">
        <v>254</v>
      </c>
      <c r="D124" s="2" t="s">
        <v>696</v>
      </c>
      <c r="E124" s="2" t="s">
        <v>19</v>
      </c>
      <c r="F124" s="2" t="s">
        <v>701</v>
      </c>
      <c r="G124" s="2" t="s">
        <v>19</v>
      </c>
      <c r="H124" s="2">
        <v>96</v>
      </c>
      <c r="I124" s="2">
        <v>1</v>
      </c>
      <c r="M124" s="2" t="s">
        <v>3</v>
      </c>
      <c r="N124">
        <v>16</v>
      </c>
      <c r="R124">
        <f t="shared" si="3"/>
        <v>96</v>
      </c>
      <c r="S124">
        <v>9</v>
      </c>
    </row>
    <row r="125" spans="1:25" x14ac:dyDescent="0.2">
      <c r="A125">
        <v>2263001</v>
      </c>
      <c r="B125" s="2" t="s">
        <v>255</v>
      </c>
      <c r="C125" s="2" t="s">
        <v>256</v>
      </c>
      <c r="D125" s="2" t="s">
        <v>697</v>
      </c>
      <c r="E125" s="2" t="s">
        <v>16</v>
      </c>
      <c r="F125" s="2" t="s">
        <v>700</v>
      </c>
      <c r="G125" s="2" t="s">
        <v>16</v>
      </c>
      <c r="H125" s="2">
        <v>63</v>
      </c>
      <c r="I125" s="2">
        <v>2.4</v>
      </c>
      <c r="J125" s="2">
        <v>20</v>
      </c>
      <c r="K125" s="2">
        <v>40</v>
      </c>
      <c r="L125" s="2">
        <v>25</v>
      </c>
      <c r="M125" s="2" t="s">
        <v>2</v>
      </c>
      <c r="N125">
        <v>9</v>
      </c>
      <c r="R125">
        <f t="shared" si="3"/>
        <v>151.19999999999999</v>
      </c>
      <c r="S125">
        <v>9</v>
      </c>
      <c r="U125" t="s">
        <v>3</v>
      </c>
      <c r="V125" t="s">
        <v>2</v>
      </c>
      <c r="W125">
        <f t="shared" ref="W125:W135" si="8">S125</f>
        <v>9</v>
      </c>
      <c r="X125">
        <f t="shared" ref="X125:X135" si="9">R125+30</f>
        <v>181.2</v>
      </c>
      <c r="Y125" t="s">
        <v>3</v>
      </c>
    </row>
    <row r="126" spans="1:25" x14ac:dyDescent="0.2">
      <c r="A126">
        <v>2263003</v>
      </c>
      <c r="B126" s="2" t="s">
        <v>257</v>
      </c>
      <c r="C126" s="2" t="s">
        <v>258</v>
      </c>
      <c r="D126" s="2" t="s">
        <v>697</v>
      </c>
      <c r="E126" s="2" t="s">
        <v>16</v>
      </c>
      <c r="F126" s="2" t="s">
        <v>700</v>
      </c>
      <c r="G126" s="2" t="s">
        <v>16</v>
      </c>
      <c r="H126" s="2">
        <v>63</v>
      </c>
      <c r="I126" s="2">
        <v>2.4</v>
      </c>
      <c r="J126" s="2">
        <v>20</v>
      </c>
      <c r="K126" s="2">
        <v>40</v>
      </c>
      <c r="L126" s="2">
        <v>25</v>
      </c>
      <c r="M126" s="2" t="s">
        <v>2</v>
      </c>
      <c r="N126">
        <v>9</v>
      </c>
      <c r="R126">
        <f t="shared" si="3"/>
        <v>151.19999999999999</v>
      </c>
      <c r="S126">
        <v>9</v>
      </c>
      <c r="U126" t="s">
        <v>3</v>
      </c>
      <c r="V126" t="s">
        <v>2</v>
      </c>
      <c r="W126">
        <f t="shared" si="8"/>
        <v>9</v>
      </c>
      <c r="X126">
        <f t="shared" si="9"/>
        <v>181.2</v>
      </c>
      <c r="Y126" t="s">
        <v>3</v>
      </c>
    </row>
    <row r="127" spans="1:25" x14ac:dyDescent="0.2">
      <c r="A127">
        <v>2263004</v>
      </c>
      <c r="B127" s="2" t="s">
        <v>259</v>
      </c>
      <c r="C127" s="2" t="s">
        <v>260</v>
      </c>
      <c r="D127" s="2" t="s">
        <v>697</v>
      </c>
      <c r="E127" s="2" t="s">
        <v>16</v>
      </c>
      <c r="F127" s="2" t="s">
        <v>700</v>
      </c>
      <c r="G127" s="2" t="s">
        <v>16</v>
      </c>
      <c r="H127" s="2">
        <v>63</v>
      </c>
      <c r="I127" s="2">
        <v>2.4</v>
      </c>
      <c r="J127" s="2">
        <v>20</v>
      </c>
      <c r="K127" s="2">
        <v>40</v>
      </c>
      <c r="L127" s="2">
        <v>25</v>
      </c>
      <c r="M127" s="2" t="s">
        <v>2</v>
      </c>
      <c r="N127">
        <v>9</v>
      </c>
      <c r="R127">
        <f t="shared" si="3"/>
        <v>151.19999999999999</v>
      </c>
      <c r="S127">
        <v>9</v>
      </c>
      <c r="U127" t="s">
        <v>3</v>
      </c>
      <c r="V127" t="s">
        <v>2</v>
      </c>
      <c r="W127">
        <f t="shared" si="8"/>
        <v>9</v>
      </c>
      <c r="X127">
        <f t="shared" si="9"/>
        <v>181.2</v>
      </c>
      <c r="Y127" t="s">
        <v>3</v>
      </c>
    </row>
    <row r="128" spans="1:25" x14ac:dyDescent="0.2">
      <c r="A128">
        <v>2263005</v>
      </c>
      <c r="B128" s="2" t="s">
        <v>261</v>
      </c>
      <c r="C128" s="2" t="s">
        <v>262</v>
      </c>
      <c r="D128" s="2" t="s">
        <v>697</v>
      </c>
      <c r="E128" s="2" t="s">
        <v>16</v>
      </c>
      <c r="F128" s="2" t="s">
        <v>700</v>
      </c>
      <c r="G128" s="2" t="s">
        <v>16</v>
      </c>
      <c r="H128" s="2">
        <v>63</v>
      </c>
      <c r="I128" s="2">
        <v>2.4</v>
      </c>
      <c r="J128" s="2">
        <v>20</v>
      </c>
      <c r="K128" s="2">
        <v>40</v>
      </c>
      <c r="L128" s="2">
        <v>35</v>
      </c>
      <c r="M128" s="2" t="s">
        <v>2</v>
      </c>
      <c r="N128">
        <v>9</v>
      </c>
      <c r="R128">
        <f t="shared" si="3"/>
        <v>151.19999999999999</v>
      </c>
      <c r="S128">
        <v>9</v>
      </c>
      <c r="U128" t="s">
        <v>3</v>
      </c>
      <c r="V128" t="s">
        <v>2</v>
      </c>
      <c r="W128">
        <f t="shared" si="8"/>
        <v>9</v>
      </c>
      <c r="X128">
        <f t="shared" si="9"/>
        <v>181.2</v>
      </c>
      <c r="Y128" t="s">
        <v>3</v>
      </c>
    </row>
    <row r="129" spans="1:25" x14ac:dyDescent="0.2">
      <c r="A129">
        <v>2263006</v>
      </c>
      <c r="B129" s="2" t="s">
        <v>263</v>
      </c>
      <c r="C129" s="2" t="s">
        <v>264</v>
      </c>
      <c r="D129" s="2" t="s">
        <v>697</v>
      </c>
      <c r="E129" s="2" t="s">
        <v>16</v>
      </c>
      <c r="F129" s="2" t="s">
        <v>700</v>
      </c>
      <c r="G129" s="2" t="s">
        <v>16</v>
      </c>
      <c r="H129" s="2">
        <v>63</v>
      </c>
      <c r="I129" s="2">
        <v>2.4</v>
      </c>
      <c r="J129" s="2">
        <v>20</v>
      </c>
      <c r="K129" s="2">
        <v>40</v>
      </c>
      <c r="L129" s="2">
        <v>35</v>
      </c>
      <c r="M129" s="2" t="s">
        <v>2</v>
      </c>
      <c r="N129">
        <v>9</v>
      </c>
      <c r="R129">
        <f t="shared" si="3"/>
        <v>151.19999999999999</v>
      </c>
      <c r="S129">
        <v>9</v>
      </c>
      <c r="U129" t="s">
        <v>3</v>
      </c>
      <c r="V129" t="s">
        <v>2</v>
      </c>
      <c r="W129">
        <f t="shared" si="8"/>
        <v>9</v>
      </c>
      <c r="X129">
        <f t="shared" si="9"/>
        <v>181.2</v>
      </c>
      <c r="Y129" t="s">
        <v>3</v>
      </c>
    </row>
    <row r="130" spans="1:25" x14ac:dyDescent="0.2">
      <c r="A130">
        <v>2263009</v>
      </c>
      <c r="B130" s="2" t="s">
        <v>265</v>
      </c>
      <c r="C130" s="2" t="s">
        <v>266</v>
      </c>
      <c r="D130" s="2" t="s">
        <v>697</v>
      </c>
      <c r="E130" s="2" t="s">
        <v>16</v>
      </c>
      <c r="F130" s="2" t="s">
        <v>700</v>
      </c>
      <c r="G130" s="2" t="s">
        <v>16</v>
      </c>
      <c r="H130" s="2">
        <v>132</v>
      </c>
      <c r="I130" s="2">
        <v>1</v>
      </c>
      <c r="J130" s="2">
        <v>20</v>
      </c>
      <c r="K130" s="2">
        <v>40</v>
      </c>
      <c r="L130" s="2">
        <v>35</v>
      </c>
      <c r="M130" s="2" t="s">
        <v>2</v>
      </c>
      <c r="N130">
        <v>12</v>
      </c>
      <c r="R130">
        <f t="shared" si="3"/>
        <v>132</v>
      </c>
      <c r="S130">
        <v>9</v>
      </c>
      <c r="U130" t="s">
        <v>3</v>
      </c>
      <c r="V130" t="s">
        <v>2</v>
      </c>
      <c r="W130">
        <f t="shared" si="8"/>
        <v>9</v>
      </c>
      <c r="X130">
        <f t="shared" si="9"/>
        <v>162</v>
      </c>
      <c r="Y130" t="s">
        <v>3</v>
      </c>
    </row>
    <row r="131" spans="1:25" x14ac:dyDescent="0.2">
      <c r="A131">
        <v>2263051</v>
      </c>
      <c r="B131" s="2" t="s">
        <v>267</v>
      </c>
      <c r="C131" s="2" t="s">
        <v>268</v>
      </c>
      <c r="D131" s="2" t="s">
        <v>697</v>
      </c>
      <c r="E131" s="2" t="s">
        <v>16</v>
      </c>
      <c r="F131" s="2" t="s">
        <v>700</v>
      </c>
      <c r="G131" s="2" t="s">
        <v>16</v>
      </c>
      <c r="H131" s="2">
        <v>132</v>
      </c>
      <c r="I131" s="2">
        <v>2.4</v>
      </c>
      <c r="J131" s="2">
        <v>20</v>
      </c>
      <c r="K131" s="2">
        <v>40</v>
      </c>
      <c r="L131" s="2">
        <v>35</v>
      </c>
      <c r="M131" s="2" t="s">
        <v>2</v>
      </c>
      <c r="N131">
        <v>12</v>
      </c>
      <c r="R131">
        <f t="shared" ref="R131:R194" si="10">H131*I131</f>
        <v>316.8</v>
      </c>
      <c r="S131">
        <v>9</v>
      </c>
      <c r="U131" t="s">
        <v>3</v>
      </c>
      <c r="V131" t="s">
        <v>2</v>
      </c>
      <c r="W131">
        <f t="shared" si="8"/>
        <v>9</v>
      </c>
      <c r="X131">
        <f t="shared" si="9"/>
        <v>346.8</v>
      </c>
      <c r="Y131" t="s">
        <v>3</v>
      </c>
    </row>
    <row r="132" spans="1:25" x14ac:dyDescent="0.2">
      <c r="A132">
        <v>2263053</v>
      </c>
      <c r="B132" s="2" t="s">
        <v>269</v>
      </c>
      <c r="C132" s="2" t="s">
        <v>270</v>
      </c>
      <c r="D132" s="2" t="s">
        <v>697</v>
      </c>
      <c r="E132" s="2" t="s">
        <v>16</v>
      </c>
      <c r="F132" s="2" t="s">
        <v>700</v>
      </c>
      <c r="G132" s="2" t="s">
        <v>16</v>
      </c>
      <c r="H132" s="2">
        <v>132</v>
      </c>
      <c r="I132" s="2">
        <v>2.4</v>
      </c>
      <c r="J132" s="2">
        <v>20</v>
      </c>
      <c r="K132" s="2">
        <v>40</v>
      </c>
      <c r="L132" s="2">
        <v>35</v>
      </c>
      <c r="M132" s="2" t="s">
        <v>2</v>
      </c>
      <c r="N132">
        <v>12</v>
      </c>
      <c r="R132">
        <f t="shared" si="10"/>
        <v>316.8</v>
      </c>
      <c r="S132">
        <v>9</v>
      </c>
      <c r="U132" t="s">
        <v>3</v>
      </c>
      <c r="V132" t="s">
        <v>2</v>
      </c>
      <c r="W132">
        <f t="shared" si="8"/>
        <v>9</v>
      </c>
      <c r="X132">
        <f t="shared" si="9"/>
        <v>346.8</v>
      </c>
      <c r="Y132" t="s">
        <v>3</v>
      </c>
    </row>
    <row r="133" spans="1:25" x14ac:dyDescent="0.2">
      <c r="A133">
        <v>2263090</v>
      </c>
      <c r="B133" s="2" t="s">
        <v>271</v>
      </c>
      <c r="C133" s="2" t="s">
        <v>272</v>
      </c>
      <c r="D133" s="2" t="s">
        <v>697</v>
      </c>
      <c r="E133" s="2" t="s">
        <v>16</v>
      </c>
      <c r="F133" s="2" t="s">
        <v>700</v>
      </c>
      <c r="G133" s="2" t="s">
        <v>16</v>
      </c>
      <c r="H133" s="2">
        <v>96</v>
      </c>
      <c r="I133" s="2">
        <v>1.5</v>
      </c>
      <c r="J133" s="2">
        <v>20</v>
      </c>
      <c r="K133" s="2">
        <v>40</v>
      </c>
      <c r="L133" s="2">
        <v>35</v>
      </c>
      <c r="M133" s="2" t="s">
        <v>2</v>
      </c>
      <c r="N133">
        <v>16</v>
      </c>
      <c r="R133">
        <f t="shared" si="10"/>
        <v>144</v>
      </c>
      <c r="S133">
        <v>9</v>
      </c>
      <c r="U133" t="s">
        <v>3</v>
      </c>
      <c r="V133" t="s">
        <v>2</v>
      </c>
      <c r="W133">
        <f t="shared" si="8"/>
        <v>9</v>
      </c>
      <c r="X133">
        <f t="shared" si="9"/>
        <v>174</v>
      </c>
      <c r="Y133" t="s">
        <v>3</v>
      </c>
    </row>
    <row r="134" spans="1:25" x14ac:dyDescent="0.2">
      <c r="A134">
        <v>2310104</v>
      </c>
      <c r="B134" s="2" t="s">
        <v>273</v>
      </c>
      <c r="C134" s="2" t="s">
        <v>274</v>
      </c>
      <c r="D134" s="2" t="s">
        <v>698</v>
      </c>
      <c r="E134" s="2" t="s">
        <v>16</v>
      </c>
      <c r="F134" s="2" t="s">
        <v>700</v>
      </c>
      <c r="G134" s="2" t="s">
        <v>16</v>
      </c>
      <c r="H134" s="2">
        <v>160</v>
      </c>
      <c r="I134" s="2">
        <v>1.024</v>
      </c>
      <c r="J134" s="2">
        <v>20</v>
      </c>
      <c r="K134" s="2">
        <v>40</v>
      </c>
      <c r="L134" s="2">
        <v>35</v>
      </c>
      <c r="M134" s="2" t="s">
        <v>2</v>
      </c>
      <c r="N134">
        <v>20</v>
      </c>
      <c r="R134">
        <f t="shared" si="10"/>
        <v>163.84</v>
      </c>
      <c r="S134">
        <v>9</v>
      </c>
      <c r="U134" t="s">
        <v>3</v>
      </c>
      <c r="V134" t="s">
        <v>2</v>
      </c>
      <c r="W134">
        <f t="shared" si="8"/>
        <v>9</v>
      </c>
      <c r="X134">
        <f t="shared" si="9"/>
        <v>193.84</v>
      </c>
      <c r="Y134" t="s">
        <v>3</v>
      </c>
    </row>
    <row r="135" spans="1:25" x14ac:dyDescent="0.2">
      <c r="A135">
        <v>2310105</v>
      </c>
      <c r="B135" s="2" t="s">
        <v>275</v>
      </c>
      <c r="C135" s="2" t="s">
        <v>276</v>
      </c>
      <c r="D135" s="2" t="s">
        <v>698</v>
      </c>
      <c r="E135" s="2" t="s">
        <v>16</v>
      </c>
      <c r="F135" s="2" t="s">
        <v>700</v>
      </c>
      <c r="G135" s="2" t="s">
        <v>16</v>
      </c>
      <c r="H135" s="2">
        <v>160</v>
      </c>
      <c r="I135" s="2">
        <v>1.524</v>
      </c>
      <c r="J135" s="2">
        <v>20</v>
      </c>
      <c r="K135" s="2">
        <v>40</v>
      </c>
      <c r="L135" s="2">
        <v>35</v>
      </c>
      <c r="M135" s="2" t="s">
        <v>2</v>
      </c>
      <c r="N135">
        <v>20</v>
      </c>
      <c r="R135">
        <f t="shared" si="10"/>
        <v>243.84</v>
      </c>
      <c r="S135">
        <v>9</v>
      </c>
      <c r="U135" t="s">
        <v>3</v>
      </c>
      <c r="V135" t="s">
        <v>2</v>
      </c>
      <c r="W135">
        <f t="shared" si="8"/>
        <v>9</v>
      </c>
      <c r="X135">
        <f t="shared" si="9"/>
        <v>273.84000000000003</v>
      </c>
      <c r="Y135" t="s">
        <v>3</v>
      </c>
    </row>
    <row r="136" spans="1:25" hidden="1" x14ac:dyDescent="0.2">
      <c r="A136">
        <v>2310112</v>
      </c>
      <c r="B136" s="2" t="s">
        <v>277</v>
      </c>
      <c r="C136" s="2" t="s">
        <v>278</v>
      </c>
      <c r="D136" s="2" t="s">
        <v>698</v>
      </c>
      <c r="E136" s="2" t="s">
        <v>19</v>
      </c>
      <c r="F136" s="2" t="s">
        <v>700</v>
      </c>
      <c r="G136" s="2" t="s">
        <v>16</v>
      </c>
      <c r="H136" s="2">
        <v>90</v>
      </c>
      <c r="I136" s="2">
        <v>1.26</v>
      </c>
      <c r="M136" s="2" t="s">
        <v>2</v>
      </c>
      <c r="N136">
        <v>10</v>
      </c>
      <c r="R136">
        <f t="shared" si="10"/>
        <v>113.4</v>
      </c>
      <c r="S136">
        <v>9</v>
      </c>
    </row>
    <row r="137" spans="1:25" hidden="1" x14ac:dyDescent="0.2">
      <c r="A137">
        <v>2310113</v>
      </c>
      <c r="B137" s="2" t="s">
        <v>279</v>
      </c>
      <c r="C137" s="2" t="s">
        <v>280</v>
      </c>
      <c r="D137" s="2" t="s">
        <v>698</v>
      </c>
      <c r="E137" s="2" t="s">
        <v>19</v>
      </c>
      <c r="F137" s="2" t="s">
        <v>700</v>
      </c>
      <c r="G137" s="2" t="s">
        <v>16</v>
      </c>
      <c r="H137" s="2">
        <v>90</v>
      </c>
      <c r="I137" s="2">
        <v>1.26</v>
      </c>
      <c r="M137" s="2" t="s">
        <v>2</v>
      </c>
      <c r="N137">
        <v>10</v>
      </c>
      <c r="R137">
        <f t="shared" si="10"/>
        <v>113.4</v>
      </c>
      <c r="S137">
        <v>9</v>
      </c>
    </row>
    <row r="138" spans="1:25" hidden="1" x14ac:dyDescent="0.2">
      <c r="A138">
        <v>2310204</v>
      </c>
      <c r="B138" s="2" t="s">
        <v>281</v>
      </c>
      <c r="C138" s="2" t="s">
        <v>282</v>
      </c>
      <c r="D138" s="2" t="s">
        <v>698</v>
      </c>
      <c r="E138" s="2" t="s">
        <v>16</v>
      </c>
      <c r="F138" s="2" t="s">
        <v>700</v>
      </c>
      <c r="G138" s="2" t="s">
        <v>16</v>
      </c>
      <c r="H138" s="2">
        <v>112</v>
      </c>
      <c r="I138" s="2">
        <v>1.36</v>
      </c>
      <c r="M138" s="2" t="s">
        <v>3</v>
      </c>
      <c r="N138">
        <v>16</v>
      </c>
      <c r="R138">
        <f t="shared" si="10"/>
        <v>152.32000000000002</v>
      </c>
      <c r="S138">
        <v>9</v>
      </c>
    </row>
    <row r="139" spans="1:25" hidden="1" x14ac:dyDescent="0.2">
      <c r="A139">
        <v>2310214</v>
      </c>
      <c r="B139" s="2" t="s">
        <v>283</v>
      </c>
      <c r="C139" s="2" t="s">
        <v>284</v>
      </c>
      <c r="D139" s="2" t="s">
        <v>698</v>
      </c>
      <c r="E139" s="2" t="s">
        <v>19</v>
      </c>
      <c r="F139" s="2" t="s">
        <v>700</v>
      </c>
      <c r="G139" s="2" t="s">
        <v>16</v>
      </c>
      <c r="H139" s="2">
        <v>108</v>
      </c>
      <c r="I139" s="2">
        <v>1.53</v>
      </c>
      <c r="M139" s="2" t="s">
        <v>2</v>
      </c>
      <c r="N139">
        <v>12</v>
      </c>
      <c r="R139">
        <f t="shared" si="10"/>
        <v>165.24</v>
      </c>
      <c r="S139">
        <v>9</v>
      </c>
    </row>
    <row r="140" spans="1:25" hidden="1" x14ac:dyDescent="0.2">
      <c r="A140">
        <v>2362114</v>
      </c>
      <c r="B140" s="2" t="s">
        <v>285</v>
      </c>
      <c r="C140" s="2" t="s">
        <v>286</v>
      </c>
      <c r="E140" s="2" t="s">
        <v>16</v>
      </c>
      <c r="F140" s="2">
        <v>2</v>
      </c>
      <c r="G140" s="2" t="s">
        <v>16</v>
      </c>
      <c r="H140" s="2">
        <v>144</v>
      </c>
      <c r="I140" s="2">
        <v>2.4900000000000002</v>
      </c>
      <c r="M140" s="2" t="s">
        <v>2</v>
      </c>
      <c r="N140">
        <v>24</v>
      </c>
      <c r="R140">
        <f t="shared" si="10"/>
        <v>358.56000000000006</v>
      </c>
      <c r="S140">
        <v>9</v>
      </c>
    </row>
    <row r="141" spans="1:25" hidden="1" x14ac:dyDescent="0.2">
      <c r="A141">
        <v>2362501</v>
      </c>
      <c r="B141" s="2" t="s">
        <v>287</v>
      </c>
      <c r="C141" s="2" t="s">
        <v>288</v>
      </c>
      <c r="E141" s="2" t="s">
        <v>16</v>
      </c>
      <c r="F141" s="2">
        <v>2</v>
      </c>
      <c r="G141" s="2" t="s">
        <v>16</v>
      </c>
      <c r="H141" s="2">
        <v>144</v>
      </c>
      <c r="I141" s="2">
        <v>2.5499999999999998</v>
      </c>
      <c r="M141" s="2" t="s">
        <v>2</v>
      </c>
      <c r="N141">
        <v>24</v>
      </c>
      <c r="R141">
        <f t="shared" si="10"/>
        <v>367.2</v>
      </c>
      <c r="S141">
        <v>9</v>
      </c>
    </row>
    <row r="142" spans="1:25" hidden="1" x14ac:dyDescent="0.2">
      <c r="A142">
        <v>2362502</v>
      </c>
      <c r="B142" s="2" t="s">
        <v>289</v>
      </c>
      <c r="C142" s="2" t="s">
        <v>290</v>
      </c>
      <c r="E142" s="2" t="s">
        <v>16</v>
      </c>
      <c r="F142" s="2">
        <v>2</v>
      </c>
      <c r="G142" s="2" t="s">
        <v>16</v>
      </c>
      <c r="H142" s="2">
        <v>144</v>
      </c>
      <c r="I142" s="2">
        <v>2.5499999999999998</v>
      </c>
      <c r="M142" s="2" t="s">
        <v>2</v>
      </c>
      <c r="N142">
        <v>24</v>
      </c>
      <c r="R142">
        <f t="shared" si="10"/>
        <v>367.2</v>
      </c>
      <c r="S142">
        <v>9</v>
      </c>
    </row>
    <row r="143" spans="1:25" hidden="1" x14ac:dyDescent="0.2">
      <c r="A143">
        <v>2362503</v>
      </c>
      <c r="B143" s="2" t="s">
        <v>291</v>
      </c>
      <c r="C143" s="2" t="s">
        <v>292</v>
      </c>
      <c r="E143" s="2" t="s">
        <v>16</v>
      </c>
      <c r="F143" s="2">
        <v>2</v>
      </c>
      <c r="G143" s="2" t="s">
        <v>16</v>
      </c>
      <c r="H143" s="2">
        <v>144</v>
      </c>
      <c r="I143" s="2">
        <v>2.5499999999999998</v>
      </c>
      <c r="M143" s="2" t="s">
        <v>2</v>
      </c>
      <c r="N143">
        <v>24</v>
      </c>
      <c r="R143">
        <f t="shared" si="10"/>
        <v>367.2</v>
      </c>
      <c r="S143">
        <v>9</v>
      </c>
    </row>
    <row r="144" spans="1:25" hidden="1" x14ac:dyDescent="0.2">
      <c r="A144">
        <v>2362504</v>
      </c>
      <c r="B144" s="2" t="s">
        <v>293</v>
      </c>
      <c r="C144" s="2" t="s">
        <v>294</v>
      </c>
      <c r="E144" s="2" t="s">
        <v>16</v>
      </c>
      <c r="F144" s="2">
        <v>2</v>
      </c>
      <c r="G144" s="2" t="s">
        <v>16</v>
      </c>
      <c r="H144" s="2">
        <v>144</v>
      </c>
      <c r="I144" s="2">
        <v>2.5499999999999998</v>
      </c>
      <c r="M144" s="2" t="s">
        <v>2</v>
      </c>
      <c r="N144">
        <v>24</v>
      </c>
      <c r="R144">
        <f t="shared" si="10"/>
        <v>367.2</v>
      </c>
      <c r="S144">
        <v>9</v>
      </c>
    </row>
    <row r="145" spans="1:19" hidden="1" x14ac:dyDescent="0.2">
      <c r="A145">
        <v>2362506</v>
      </c>
      <c r="B145" s="2" t="s">
        <v>295</v>
      </c>
      <c r="C145" s="2" t="s">
        <v>296</v>
      </c>
      <c r="E145" s="2" t="s">
        <v>16</v>
      </c>
      <c r="F145" s="2">
        <v>2</v>
      </c>
      <c r="G145" s="2" t="s">
        <v>16</v>
      </c>
      <c r="H145" s="2">
        <v>144</v>
      </c>
      <c r="I145" s="2">
        <v>2.5499999999999998</v>
      </c>
      <c r="M145" s="2" t="s">
        <v>2</v>
      </c>
      <c r="N145">
        <v>24</v>
      </c>
      <c r="R145">
        <f t="shared" si="10"/>
        <v>367.2</v>
      </c>
      <c r="S145">
        <v>9</v>
      </c>
    </row>
    <row r="146" spans="1:19" hidden="1" x14ac:dyDescent="0.2">
      <c r="A146">
        <v>2363105</v>
      </c>
      <c r="B146" s="2" t="s">
        <v>297</v>
      </c>
      <c r="C146" s="2" t="s">
        <v>298</v>
      </c>
      <c r="E146" s="2" t="s">
        <v>16</v>
      </c>
      <c r="F146" s="2">
        <v>2</v>
      </c>
      <c r="G146" s="2" t="s">
        <v>16</v>
      </c>
      <c r="H146" s="2">
        <v>120</v>
      </c>
      <c r="I146" s="2">
        <v>3.2</v>
      </c>
      <c r="M146" s="2" t="s">
        <v>2</v>
      </c>
      <c r="N146">
        <v>15</v>
      </c>
      <c r="R146">
        <f t="shared" si="10"/>
        <v>384</v>
      </c>
      <c r="S146">
        <v>9</v>
      </c>
    </row>
    <row r="147" spans="1:19" hidden="1" x14ac:dyDescent="0.2">
      <c r="A147">
        <v>2363106</v>
      </c>
      <c r="B147" s="2" t="s">
        <v>299</v>
      </c>
      <c r="C147" s="2" t="s">
        <v>300</v>
      </c>
      <c r="E147" s="2" t="s">
        <v>16</v>
      </c>
      <c r="F147" s="2">
        <v>2</v>
      </c>
      <c r="G147" s="2" t="s">
        <v>16</v>
      </c>
      <c r="H147" s="2">
        <v>120</v>
      </c>
      <c r="I147" s="2">
        <v>3.2</v>
      </c>
      <c r="M147" s="2" t="s">
        <v>2</v>
      </c>
      <c r="N147">
        <v>15</v>
      </c>
      <c r="R147">
        <f t="shared" si="10"/>
        <v>384</v>
      </c>
      <c r="S147">
        <v>9</v>
      </c>
    </row>
    <row r="148" spans="1:19" hidden="1" x14ac:dyDescent="0.2">
      <c r="A148">
        <v>2366001</v>
      </c>
      <c r="B148" s="2" t="s">
        <v>301</v>
      </c>
      <c r="C148" s="2" t="s">
        <v>302</v>
      </c>
      <c r="E148" s="2" t="s">
        <v>16</v>
      </c>
      <c r="F148" s="2">
        <v>7</v>
      </c>
      <c r="G148" s="2" t="s">
        <v>19</v>
      </c>
      <c r="H148" s="2">
        <v>108</v>
      </c>
      <c r="I148" s="2">
        <v>2.52</v>
      </c>
      <c r="M148" s="2" t="s">
        <v>2</v>
      </c>
      <c r="N148">
        <v>12</v>
      </c>
      <c r="R148">
        <f t="shared" si="10"/>
        <v>272.16000000000003</v>
      </c>
      <c r="S148">
        <v>9</v>
      </c>
    </row>
    <row r="149" spans="1:19" hidden="1" x14ac:dyDescent="0.2">
      <c r="A149">
        <v>2366002</v>
      </c>
      <c r="B149" s="2" t="s">
        <v>303</v>
      </c>
      <c r="C149" s="2" t="s">
        <v>304</v>
      </c>
      <c r="E149" s="2" t="s">
        <v>16</v>
      </c>
      <c r="F149" s="2">
        <v>7</v>
      </c>
      <c r="G149" s="2" t="s">
        <v>19</v>
      </c>
      <c r="H149" s="2">
        <v>108</v>
      </c>
      <c r="I149" s="2">
        <v>2.52</v>
      </c>
      <c r="M149" s="2" t="s">
        <v>2</v>
      </c>
      <c r="N149">
        <v>12</v>
      </c>
      <c r="R149">
        <f t="shared" si="10"/>
        <v>272.16000000000003</v>
      </c>
      <c r="S149">
        <v>9</v>
      </c>
    </row>
    <row r="150" spans="1:19" hidden="1" x14ac:dyDescent="0.2">
      <c r="A150">
        <v>2366003</v>
      </c>
      <c r="B150" s="2" t="s">
        <v>305</v>
      </c>
      <c r="C150" s="2" t="s">
        <v>306</v>
      </c>
      <c r="E150" s="2" t="s">
        <v>16</v>
      </c>
      <c r="F150" s="2">
        <v>7</v>
      </c>
      <c r="G150" s="2" t="s">
        <v>16</v>
      </c>
      <c r="H150" s="2">
        <v>108</v>
      </c>
      <c r="I150" s="2">
        <v>2.52</v>
      </c>
      <c r="M150" s="2" t="s">
        <v>2</v>
      </c>
      <c r="N150">
        <v>12</v>
      </c>
      <c r="R150">
        <f t="shared" si="10"/>
        <v>272.16000000000003</v>
      </c>
      <c r="S150">
        <v>9</v>
      </c>
    </row>
    <row r="151" spans="1:19" hidden="1" x14ac:dyDescent="0.2">
      <c r="A151">
        <v>2366005</v>
      </c>
      <c r="B151" s="2" t="s">
        <v>307</v>
      </c>
      <c r="C151" s="2" t="s">
        <v>308</v>
      </c>
      <c r="E151" s="2" t="s">
        <v>16</v>
      </c>
      <c r="F151" s="2">
        <v>7</v>
      </c>
      <c r="G151" s="2" t="s">
        <v>19</v>
      </c>
      <c r="H151" s="2">
        <v>108</v>
      </c>
      <c r="I151" s="2">
        <v>2.52</v>
      </c>
      <c r="M151" s="2" t="s">
        <v>2</v>
      </c>
      <c r="N151">
        <v>12</v>
      </c>
      <c r="R151">
        <f t="shared" si="10"/>
        <v>272.16000000000003</v>
      </c>
      <c r="S151">
        <v>9</v>
      </c>
    </row>
    <row r="152" spans="1:19" hidden="1" x14ac:dyDescent="0.2">
      <c r="A152">
        <v>2366006</v>
      </c>
      <c r="B152" s="2" t="s">
        <v>309</v>
      </c>
      <c r="C152" s="2" t="s">
        <v>310</v>
      </c>
      <c r="E152" s="2" t="s">
        <v>16</v>
      </c>
      <c r="F152" s="2">
        <v>2</v>
      </c>
      <c r="G152" s="2" t="s">
        <v>19</v>
      </c>
      <c r="H152" s="2">
        <v>108</v>
      </c>
      <c r="I152" s="2">
        <v>2.52</v>
      </c>
      <c r="M152" s="2" t="s">
        <v>2</v>
      </c>
      <c r="N152">
        <v>12</v>
      </c>
      <c r="R152">
        <f t="shared" si="10"/>
        <v>272.16000000000003</v>
      </c>
      <c r="S152">
        <v>9</v>
      </c>
    </row>
    <row r="153" spans="1:19" hidden="1" x14ac:dyDescent="0.2">
      <c r="A153">
        <v>2366007</v>
      </c>
      <c r="B153" s="2" t="s">
        <v>311</v>
      </c>
      <c r="C153" s="2" t="s">
        <v>312</v>
      </c>
      <c r="E153" s="2" t="s">
        <v>16</v>
      </c>
      <c r="F153" s="2">
        <v>2</v>
      </c>
      <c r="G153" s="2" t="s">
        <v>16</v>
      </c>
      <c r="H153" s="2">
        <v>108</v>
      </c>
      <c r="I153" s="2">
        <v>2.52</v>
      </c>
      <c r="M153" s="2" t="s">
        <v>2</v>
      </c>
      <c r="N153">
        <v>12</v>
      </c>
      <c r="R153">
        <f t="shared" si="10"/>
        <v>272.16000000000003</v>
      </c>
      <c r="S153">
        <v>9</v>
      </c>
    </row>
    <row r="154" spans="1:19" hidden="1" x14ac:dyDescent="0.2">
      <c r="A154">
        <v>2366011</v>
      </c>
      <c r="B154" s="2" t="s">
        <v>313</v>
      </c>
      <c r="C154" s="2" t="s">
        <v>314</v>
      </c>
      <c r="E154" s="2" t="s">
        <v>1</v>
      </c>
      <c r="F154" s="2">
        <v>2</v>
      </c>
      <c r="G154" s="2" t="s">
        <v>1</v>
      </c>
      <c r="H154" s="2">
        <v>80</v>
      </c>
      <c r="I154" s="2">
        <v>4.5359999999999996</v>
      </c>
      <c r="M154" s="2" t="s">
        <v>2</v>
      </c>
      <c r="N154">
        <v>16</v>
      </c>
      <c r="R154">
        <f t="shared" si="10"/>
        <v>362.88</v>
      </c>
      <c r="S154">
        <v>9</v>
      </c>
    </row>
    <row r="155" spans="1:19" hidden="1" x14ac:dyDescent="0.2">
      <c r="A155">
        <v>2366013</v>
      </c>
      <c r="B155" s="2" t="s">
        <v>315</v>
      </c>
      <c r="C155" s="2" t="s">
        <v>316</v>
      </c>
      <c r="E155" s="2" t="s">
        <v>1</v>
      </c>
      <c r="F155" s="2">
        <v>2</v>
      </c>
      <c r="G155" s="2" t="s">
        <v>1</v>
      </c>
      <c r="H155" s="2">
        <v>80</v>
      </c>
      <c r="I155" s="2">
        <v>4.5359999999999996</v>
      </c>
      <c r="M155" s="2" t="s">
        <v>2</v>
      </c>
      <c r="N155">
        <v>16</v>
      </c>
      <c r="R155">
        <f t="shared" si="10"/>
        <v>362.88</v>
      </c>
      <c r="S155">
        <v>9</v>
      </c>
    </row>
    <row r="156" spans="1:19" hidden="1" x14ac:dyDescent="0.2">
      <c r="A156">
        <v>2366016</v>
      </c>
      <c r="B156" s="2" t="s">
        <v>317</v>
      </c>
      <c r="C156" s="2" t="s">
        <v>318</v>
      </c>
      <c r="E156" s="2" t="s">
        <v>1</v>
      </c>
      <c r="F156" s="2">
        <v>2</v>
      </c>
      <c r="G156" s="2" t="s">
        <v>1</v>
      </c>
      <c r="H156" s="2">
        <v>80</v>
      </c>
      <c r="I156" s="2">
        <v>4.5359999999999996</v>
      </c>
      <c r="M156" s="2" t="s">
        <v>2</v>
      </c>
      <c r="N156">
        <v>16</v>
      </c>
      <c r="R156">
        <f t="shared" si="10"/>
        <v>362.88</v>
      </c>
      <c r="S156">
        <v>9</v>
      </c>
    </row>
    <row r="157" spans="1:19" hidden="1" x14ac:dyDescent="0.2">
      <c r="A157">
        <v>2366201</v>
      </c>
      <c r="B157" s="2" t="s">
        <v>319</v>
      </c>
      <c r="C157" s="2" t="s">
        <v>320</v>
      </c>
      <c r="E157" s="2" t="s">
        <v>16</v>
      </c>
      <c r="F157" s="2">
        <v>2</v>
      </c>
      <c r="G157" s="2" t="s">
        <v>16</v>
      </c>
      <c r="H157" s="2">
        <v>72</v>
      </c>
      <c r="I157" s="2">
        <v>1.8</v>
      </c>
      <c r="M157" s="2" t="s">
        <v>2</v>
      </c>
      <c r="N157">
        <v>12</v>
      </c>
      <c r="R157">
        <f t="shared" si="10"/>
        <v>129.6</v>
      </c>
      <c r="S157">
        <v>9</v>
      </c>
    </row>
    <row r="158" spans="1:19" hidden="1" x14ac:dyDescent="0.2">
      <c r="A158">
        <v>2366202</v>
      </c>
      <c r="B158" s="2" t="s">
        <v>321</v>
      </c>
      <c r="C158" s="2" t="s">
        <v>322</v>
      </c>
      <c r="E158" s="2" t="s">
        <v>16</v>
      </c>
      <c r="F158" s="2">
        <v>2</v>
      </c>
      <c r="G158" s="2" t="s">
        <v>16</v>
      </c>
      <c r="H158" s="2">
        <v>72</v>
      </c>
      <c r="I158" s="2">
        <v>1.8</v>
      </c>
      <c r="M158" s="2" t="s">
        <v>2</v>
      </c>
      <c r="N158">
        <v>12</v>
      </c>
      <c r="R158">
        <f t="shared" si="10"/>
        <v>129.6</v>
      </c>
      <c r="S158">
        <v>9</v>
      </c>
    </row>
    <row r="159" spans="1:19" hidden="1" x14ac:dyDescent="0.2">
      <c r="A159">
        <v>2366601</v>
      </c>
      <c r="B159" s="2" t="s">
        <v>323</v>
      </c>
      <c r="C159" s="2" t="s">
        <v>324</v>
      </c>
      <c r="E159" s="2" t="s">
        <v>16</v>
      </c>
      <c r="F159" s="2">
        <v>2</v>
      </c>
      <c r="G159" s="2" t="s">
        <v>16</v>
      </c>
      <c r="H159" s="2">
        <v>111</v>
      </c>
      <c r="I159" s="2">
        <v>1.92</v>
      </c>
      <c r="M159" s="2" t="s">
        <v>2</v>
      </c>
      <c r="N159">
        <v>37</v>
      </c>
      <c r="R159">
        <f t="shared" si="10"/>
        <v>213.12</v>
      </c>
      <c r="S159">
        <v>9</v>
      </c>
    </row>
    <row r="160" spans="1:19" hidden="1" x14ac:dyDescent="0.2">
      <c r="A160">
        <v>2366602</v>
      </c>
      <c r="B160" s="2" t="s">
        <v>325</v>
      </c>
      <c r="C160" s="2" t="s">
        <v>326</v>
      </c>
      <c r="E160" s="2" t="s">
        <v>16</v>
      </c>
      <c r="F160" s="2">
        <v>2</v>
      </c>
      <c r="G160" s="2" t="s">
        <v>16</v>
      </c>
      <c r="H160" s="2">
        <v>111</v>
      </c>
      <c r="I160" s="2">
        <v>1.92</v>
      </c>
      <c r="M160" s="2" t="s">
        <v>2</v>
      </c>
      <c r="N160">
        <v>37</v>
      </c>
      <c r="R160">
        <f t="shared" si="10"/>
        <v>213.12</v>
      </c>
      <c r="S160">
        <v>9</v>
      </c>
    </row>
    <row r="161" spans="1:25" x14ac:dyDescent="0.2">
      <c r="A161">
        <v>2401079</v>
      </c>
      <c r="B161" s="2" t="s">
        <v>327</v>
      </c>
      <c r="C161" s="2" t="s">
        <v>328</v>
      </c>
      <c r="E161" s="2" t="s">
        <v>16</v>
      </c>
      <c r="F161" s="2">
        <v>2</v>
      </c>
      <c r="G161" s="2" t="s">
        <v>16</v>
      </c>
      <c r="H161" s="2">
        <v>40</v>
      </c>
      <c r="I161" s="2">
        <v>3.6</v>
      </c>
      <c r="J161" s="2">
        <v>20</v>
      </c>
      <c r="K161" s="2">
        <v>40</v>
      </c>
      <c r="L161" s="2">
        <v>35</v>
      </c>
      <c r="M161" s="2" t="s">
        <v>2</v>
      </c>
      <c r="N161">
        <v>8</v>
      </c>
      <c r="R161">
        <f t="shared" si="10"/>
        <v>144</v>
      </c>
      <c r="S161">
        <v>9</v>
      </c>
      <c r="U161" t="s">
        <v>3</v>
      </c>
      <c r="V161" t="s">
        <v>2</v>
      </c>
      <c r="W161">
        <f>S161</f>
        <v>9</v>
      </c>
      <c r="X161">
        <f>R161+30</f>
        <v>174</v>
      </c>
      <c r="Y161" t="s">
        <v>3</v>
      </c>
    </row>
    <row r="162" spans="1:25" hidden="1" x14ac:dyDescent="0.2">
      <c r="A162">
        <v>2401083</v>
      </c>
      <c r="B162" s="2" t="s">
        <v>329</v>
      </c>
      <c r="C162" s="2" t="s">
        <v>330</v>
      </c>
      <c r="E162" s="2" t="s">
        <v>1</v>
      </c>
      <c r="F162" s="2">
        <v>2</v>
      </c>
      <c r="G162" s="2" t="s">
        <v>1</v>
      </c>
      <c r="H162" s="2">
        <v>65</v>
      </c>
      <c r="I162" s="2">
        <v>3.75</v>
      </c>
      <c r="M162" s="2" t="s">
        <v>2</v>
      </c>
      <c r="N162">
        <v>13</v>
      </c>
      <c r="R162">
        <f t="shared" si="10"/>
        <v>243.75</v>
      </c>
      <c r="S162">
        <v>9</v>
      </c>
    </row>
    <row r="163" spans="1:25" x14ac:dyDescent="0.2">
      <c r="A163">
        <v>2401503</v>
      </c>
      <c r="B163" s="2" t="s">
        <v>331</v>
      </c>
      <c r="C163" s="2" t="s">
        <v>332</v>
      </c>
      <c r="E163" s="2" t="s">
        <v>155</v>
      </c>
      <c r="F163" s="2">
        <v>2</v>
      </c>
      <c r="G163" s="2" t="s">
        <v>155</v>
      </c>
      <c r="H163" s="2">
        <v>60</v>
      </c>
      <c r="I163" s="2">
        <v>4</v>
      </c>
      <c r="J163" s="2">
        <v>20</v>
      </c>
      <c r="K163" s="2">
        <v>40</v>
      </c>
      <c r="L163" s="2">
        <v>35</v>
      </c>
      <c r="M163" s="2" t="s">
        <v>2</v>
      </c>
      <c r="N163">
        <v>10</v>
      </c>
      <c r="R163">
        <f t="shared" si="10"/>
        <v>240</v>
      </c>
      <c r="S163">
        <v>9</v>
      </c>
      <c r="U163" t="s">
        <v>3</v>
      </c>
      <c r="V163" t="s">
        <v>3</v>
      </c>
      <c r="W163">
        <f t="shared" ref="W163:W166" si="11">S163</f>
        <v>9</v>
      </c>
      <c r="X163">
        <f t="shared" ref="X163:X166" si="12">R163+30</f>
        <v>270</v>
      </c>
      <c r="Y163" t="s">
        <v>3</v>
      </c>
    </row>
    <row r="164" spans="1:25" x14ac:dyDescent="0.2">
      <c r="A164">
        <v>2401504</v>
      </c>
      <c r="B164" s="2" t="s">
        <v>333</v>
      </c>
      <c r="C164" s="2" t="s">
        <v>334</v>
      </c>
      <c r="E164" s="2" t="s">
        <v>155</v>
      </c>
      <c r="F164" s="2">
        <v>2</v>
      </c>
      <c r="G164" s="2" t="s">
        <v>155</v>
      </c>
      <c r="H164" s="2">
        <v>60</v>
      </c>
      <c r="I164" s="2">
        <v>4</v>
      </c>
      <c r="J164" s="2">
        <v>50</v>
      </c>
      <c r="K164" s="2">
        <v>40</v>
      </c>
      <c r="L164" s="2">
        <v>35</v>
      </c>
      <c r="M164" s="2" t="s">
        <v>2</v>
      </c>
      <c r="N164">
        <v>10</v>
      </c>
      <c r="R164">
        <f t="shared" si="10"/>
        <v>240</v>
      </c>
      <c r="S164">
        <v>9</v>
      </c>
      <c r="U164" t="s">
        <v>3</v>
      </c>
      <c r="V164" t="s">
        <v>3</v>
      </c>
      <c r="W164">
        <f t="shared" si="11"/>
        <v>9</v>
      </c>
      <c r="X164">
        <f t="shared" si="12"/>
        <v>270</v>
      </c>
      <c r="Y164" t="s">
        <v>3</v>
      </c>
    </row>
    <row r="165" spans="1:25" x14ac:dyDescent="0.2">
      <c r="A165">
        <v>2401522</v>
      </c>
      <c r="B165" s="2" t="s">
        <v>335</v>
      </c>
      <c r="C165" s="2" t="s">
        <v>336</v>
      </c>
      <c r="E165" s="2" t="s">
        <v>155</v>
      </c>
      <c r="F165" s="2">
        <v>2</v>
      </c>
      <c r="G165" s="2" t="s">
        <v>155</v>
      </c>
      <c r="H165" s="2">
        <v>32</v>
      </c>
      <c r="I165" s="2">
        <v>4.3</v>
      </c>
      <c r="J165" s="2">
        <v>50</v>
      </c>
      <c r="K165" s="2">
        <v>40</v>
      </c>
      <c r="L165" s="2">
        <v>35</v>
      </c>
      <c r="M165" s="2" t="s">
        <v>2</v>
      </c>
      <c r="N165">
        <v>8</v>
      </c>
      <c r="R165">
        <f t="shared" si="10"/>
        <v>137.6</v>
      </c>
      <c r="S165">
        <v>9</v>
      </c>
      <c r="U165" t="s">
        <v>3</v>
      </c>
      <c r="V165" t="s">
        <v>3</v>
      </c>
      <c r="W165">
        <f t="shared" si="11"/>
        <v>9</v>
      </c>
      <c r="X165">
        <f t="shared" si="12"/>
        <v>167.6</v>
      </c>
      <c r="Y165" t="s">
        <v>3</v>
      </c>
    </row>
    <row r="166" spans="1:25" x14ac:dyDescent="0.2">
      <c r="A166">
        <v>2401523</v>
      </c>
      <c r="B166" s="2" t="s">
        <v>337</v>
      </c>
      <c r="C166" s="2" t="s">
        <v>338</v>
      </c>
      <c r="E166" s="2" t="s">
        <v>155</v>
      </c>
      <c r="F166" s="2">
        <v>2</v>
      </c>
      <c r="G166" s="2" t="s">
        <v>155</v>
      </c>
      <c r="H166" s="2">
        <v>32</v>
      </c>
      <c r="I166" s="2">
        <v>4.3</v>
      </c>
      <c r="J166" s="2">
        <v>50</v>
      </c>
      <c r="K166" s="2">
        <v>40</v>
      </c>
      <c r="L166" s="2">
        <v>35</v>
      </c>
      <c r="M166" s="2" t="s">
        <v>2</v>
      </c>
      <c r="N166">
        <v>8</v>
      </c>
      <c r="R166">
        <f t="shared" si="10"/>
        <v>137.6</v>
      </c>
      <c r="S166">
        <v>9</v>
      </c>
      <c r="U166" t="s">
        <v>3</v>
      </c>
      <c r="V166" t="s">
        <v>3</v>
      </c>
      <c r="W166">
        <f t="shared" si="11"/>
        <v>9</v>
      </c>
      <c r="X166">
        <f t="shared" si="12"/>
        <v>167.6</v>
      </c>
      <c r="Y166" t="s">
        <v>3</v>
      </c>
    </row>
    <row r="167" spans="1:25" hidden="1" x14ac:dyDescent="0.2">
      <c r="A167">
        <v>2430100</v>
      </c>
      <c r="B167" s="2" t="s">
        <v>339</v>
      </c>
      <c r="C167" s="2" t="s">
        <v>340</v>
      </c>
      <c r="E167" s="2" t="s">
        <v>16</v>
      </c>
      <c r="F167" s="2">
        <v>2</v>
      </c>
      <c r="G167" s="2" t="s">
        <v>16</v>
      </c>
      <c r="H167" s="2">
        <v>240</v>
      </c>
      <c r="I167" s="2">
        <v>0.75600000000000001</v>
      </c>
      <c r="M167" s="2" t="s">
        <v>2</v>
      </c>
      <c r="N167">
        <v>24</v>
      </c>
      <c r="R167">
        <f t="shared" si="10"/>
        <v>181.44</v>
      </c>
      <c r="S167">
        <v>9</v>
      </c>
    </row>
    <row r="168" spans="1:25" hidden="1" x14ac:dyDescent="0.2">
      <c r="A168">
        <v>2430102</v>
      </c>
      <c r="B168" s="2" t="s">
        <v>341</v>
      </c>
      <c r="C168" s="2" t="s">
        <v>342</v>
      </c>
      <c r="E168" s="2" t="s">
        <v>16</v>
      </c>
      <c r="F168" s="2">
        <v>2</v>
      </c>
      <c r="G168" s="2" t="s">
        <v>16</v>
      </c>
      <c r="H168" s="2">
        <v>240</v>
      </c>
      <c r="I168" s="2">
        <v>0.75600000000000001</v>
      </c>
      <c r="M168" s="2" t="s">
        <v>2</v>
      </c>
      <c r="N168">
        <v>24</v>
      </c>
      <c r="R168">
        <f t="shared" si="10"/>
        <v>181.44</v>
      </c>
      <c r="S168">
        <v>9</v>
      </c>
    </row>
    <row r="169" spans="1:25" hidden="1" x14ac:dyDescent="0.2">
      <c r="A169">
        <v>2431000</v>
      </c>
      <c r="B169" s="2" t="s">
        <v>343</v>
      </c>
      <c r="C169" s="2" t="s">
        <v>344</v>
      </c>
      <c r="E169" s="2" t="s">
        <v>16</v>
      </c>
      <c r="F169" s="2">
        <v>2</v>
      </c>
      <c r="G169" s="2" t="s">
        <v>16</v>
      </c>
      <c r="H169" s="2">
        <v>70</v>
      </c>
      <c r="I169" s="2">
        <v>3</v>
      </c>
      <c r="M169" s="2" t="s">
        <v>2</v>
      </c>
      <c r="N169">
        <v>14</v>
      </c>
      <c r="R169">
        <f t="shared" si="10"/>
        <v>210</v>
      </c>
      <c r="S169">
        <v>9</v>
      </c>
    </row>
    <row r="170" spans="1:25" x14ac:dyDescent="0.2">
      <c r="A170">
        <v>2431003</v>
      </c>
      <c r="B170" s="2" t="s">
        <v>345</v>
      </c>
      <c r="C170" s="2" t="s">
        <v>346</v>
      </c>
      <c r="E170" s="2" t="s">
        <v>16</v>
      </c>
      <c r="F170" s="2">
        <v>2</v>
      </c>
      <c r="G170" s="2" t="s">
        <v>16</v>
      </c>
      <c r="H170" s="2">
        <v>70</v>
      </c>
      <c r="I170" s="2">
        <v>3</v>
      </c>
      <c r="J170" s="2">
        <v>50</v>
      </c>
      <c r="K170" s="2">
        <v>40</v>
      </c>
      <c r="L170" s="2">
        <v>35</v>
      </c>
      <c r="M170" s="2" t="s">
        <v>2</v>
      </c>
      <c r="N170">
        <v>14</v>
      </c>
      <c r="R170">
        <f t="shared" si="10"/>
        <v>210</v>
      </c>
      <c r="S170">
        <v>9</v>
      </c>
      <c r="U170" t="s">
        <v>3</v>
      </c>
      <c r="V170" t="s">
        <v>3</v>
      </c>
      <c r="W170">
        <f>S170</f>
        <v>9</v>
      </c>
      <c r="X170">
        <f>R170+30</f>
        <v>240</v>
      </c>
      <c r="Y170" t="s">
        <v>3</v>
      </c>
    </row>
    <row r="171" spans="1:25" hidden="1" x14ac:dyDescent="0.2">
      <c r="A171">
        <v>2431004</v>
      </c>
      <c r="B171" s="2" t="s">
        <v>347</v>
      </c>
      <c r="C171" s="2" t="s">
        <v>348</v>
      </c>
      <c r="E171" s="2" t="s">
        <v>16</v>
      </c>
      <c r="F171" s="2">
        <v>2</v>
      </c>
      <c r="G171" s="2" t="s">
        <v>16</v>
      </c>
      <c r="H171" s="2">
        <v>70</v>
      </c>
      <c r="I171" s="2">
        <v>3</v>
      </c>
      <c r="M171" s="2" t="s">
        <v>2</v>
      </c>
      <c r="N171">
        <v>14</v>
      </c>
      <c r="R171">
        <f t="shared" si="10"/>
        <v>210</v>
      </c>
      <c r="S171">
        <v>9</v>
      </c>
    </row>
    <row r="172" spans="1:25" hidden="1" x14ac:dyDescent="0.2">
      <c r="A172">
        <v>2431005</v>
      </c>
      <c r="B172" s="2" t="s">
        <v>349</v>
      </c>
      <c r="C172" s="2" t="s">
        <v>350</v>
      </c>
      <c r="E172" s="2" t="s">
        <v>16</v>
      </c>
      <c r="F172" s="2">
        <v>2</v>
      </c>
      <c r="G172" s="2" t="s">
        <v>16</v>
      </c>
      <c r="H172" s="2">
        <v>70</v>
      </c>
      <c r="I172" s="2">
        <v>3.024</v>
      </c>
      <c r="M172" s="2" t="s">
        <v>2</v>
      </c>
      <c r="N172">
        <v>14</v>
      </c>
      <c r="R172">
        <f t="shared" si="10"/>
        <v>211.68</v>
      </c>
      <c r="S172">
        <v>9</v>
      </c>
    </row>
    <row r="173" spans="1:25" hidden="1" x14ac:dyDescent="0.2">
      <c r="A173">
        <v>2431008</v>
      </c>
      <c r="B173" s="2" t="s">
        <v>351</v>
      </c>
      <c r="C173" s="2" t="s">
        <v>352</v>
      </c>
      <c r="E173" s="2" t="s">
        <v>16</v>
      </c>
      <c r="F173" s="2">
        <v>2</v>
      </c>
      <c r="G173" s="2" t="s">
        <v>16</v>
      </c>
      <c r="H173" s="2">
        <v>70</v>
      </c>
      <c r="I173" s="2">
        <v>3</v>
      </c>
      <c r="M173" s="2" t="s">
        <v>2</v>
      </c>
      <c r="N173">
        <v>14</v>
      </c>
      <c r="R173">
        <f t="shared" si="10"/>
        <v>210</v>
      </c>
      <c r="S173">
        <v>9</v>
      </c>
    </row>
    <row r="174" spans="1:25" x14ac:dyDescent="0.2">
      <c r="A174">
        <v>2431011</v>
      </c>
      <c r="B174" s="2" t="s">
        <v>353</v>
      </c>
      <c r="C174" s="2" t="s">
        <v>354</v>
      </c>
      <c r="E174" s="2" t="s">
        <v>16</v>
      </c>
      <c r="F174" s="2">
        <v>2</v>
      </c>
      <c r="G174" s="2" t="s">
        <v>16</v>
      </c>
      <c r="H174" s="2">
        <v>70</v>
      </c>
      <c r="I174" s="2">
        <v>3.024</v>
      </c>
      <c r="J174" s="2">
        <v>50</v>
      </c>
      <c r="K174" s="2">
        <v>40</v>
      </c>
      <c r="L174" s="2">
        <v>35</v>
      </c>
      <c r="M174" s="2" t="s">
        <v>2</v>
      </c>
      <c r="N174">
        <v>14</v>
      </c>
      <c r="R174">
        <f t="shared" si="10"/>
        <v>211.68</v>
      </c>
      <c r="S174">
        <v>9</v>
      </c>
      <c r="U174" t="s">
        <v>3</v>
      </c>
      <c r="V174" t="s">
        <v>3</v>
      </c>
      <c r="W174">
        <f>S174</f>
        <v>9</v>
      </c>
      <c r="X174">
        <f>R174+30</f>
        <v>241.68</v>
      </c>
      <c r="Y174" t="s">
        <v>3</v>
      </c>
    </row>
    <row r="175" spans="1:25" hidden="1" x14ac:dyDescent="0.2">
      <c r="A175">
        <v>2431015</v>
      </c>
      <c r="B175" s="2" t="s">
        <v>355</v>
      </c>
      <c r="C175" s="2" t="s">
        <v>356</v>
      </c>
      <c r="E175" s="2" t="s">
        <v>16</v>
      </c>
      <c r="F175" s="2">
        <v>2</v>
      </c>
      <c r="G175" s="2" t="s">
        <v>16</v>
      </c>
      <c r="H175" s="2">
        <v>42</v>
      </c>
      <c r="I175" s="2">
        <v>1.8</v>
      </c>
      <c r="M175" s="2" t="s">
        <v>2</v>
      </c>
      <c r="N175">
        <v>6</v>
      </c>
      <c r="R175">
        <f t="shared" si="10"/>
        <v>75.600000000000009</v>
      </c>
      <c r="S175">
        <v>9</v>
      </c>
    </row>
    <row r="176" spans="1:25" hidden="1" x14ac:dyDescent="0.2">
      <c r="A176">
        <v>2431017</v>
      </c>
      <c r="B176" s="2" t="s">
        <v>357</v>
      </c>
      <c r="C176" s="2" t="s">
        <v>358</v>
      </c>
      <c r="E176" s="2" t="s">
        <v>16</v>
      </c>
      <c r="F176" s="2">
        <v>2</v>
      </c>
      <c r="G176" s="2" t="s">
        <v>16</v>
      </c>
      <c r="H176" s="2">
        <v>42</v>
      </c>
      <c r="I176" s="2">
        <v>1.8</v>
      </c>
      <c r="M176" s="2" t="s">
        <v>2</v>
      </c>
      <c r="N176">
        <v>6</v>
      </c>
      <c r="R176">
        <f t="shared" si="10"/>
        <v>75.600000000000009</v>
      </c>
      <c r="S176">
        <v>9</v>
      </c>
    </row>
    <row r="177" spans="1:25" x14ac:dyDescent="0.2">
      <c r="A177">
        <v>2461154</v>
      </c>
      <c r="B177" s="2" t="s">
        <v>359</v>
      </c>
      <c r="C177" s="2" t="s">
        <v>360</v>
      </c>
      <c r="E177" s="2" t="s">
        <v>16</v>
      </c>
      <c r="F177" s="2">
        <v>2</v>
      </c>
      <c r="G177" s="2" t="s">
        <v>16</v>
      </c>
      <c r="H177" s="2">
        <v>60</v>
      </c>
      <c r="I177" s="2">
        <v>1.05</v>
      </c>
      <c r="J177" s="2">
        <v>50</v>
      </c>
      <c r="K177" s="2">
        <v>40</v>
      </c>
      <c r="L177" s="2">
        <v>35</v>
      </c>
      <c r="M177" s="2" t="s">
        <v>2</v>
      </c>
      <c r="N177">
        <v>12</v>
      </c>
      <c r="R177">
        <f t="shared" si="10"/>
        <v>63</v>
      </c>
      <c r="S177">
        <v>9</v>
      </c>
      <c r="U177" t="s">
        <v>3</v>
      </c>
      <c r="V177" t="s">
        <v>3</v>
      </c>
      <c r="W177">
        <f>S177</f>
        <v>9</v>
      </c>
      <c r="X177">
        <f>R177+30</f>
        <v>93</v>
      </c>
      <c r="Y177" t="s">
        <v>3</v>
      </c>
    </row>
    <row r="178" spans="1:25" hidden="1" x14ac:dyDescent="0.2">
      <c r="A178">
        <v>2461185</v>
      </c>
      <c r="B178" s="2" t="s">
        <v>361</v>
      </c>
      <c r="C178" s="2" t="s">
        <v>362</v>
      </c>
      <c r="E178" s="2" t="s">
        <v>16</v>
      </c>
      <c r="F178" s="2">
        <v>2</v>
      </c>
      <c r="G178" s="2" t="s">
        <v>16</v>
      </c>
      <c r="H178" s="2">
        <v>90</v>
      </c>
      <c r="I178" s="2">
        <v>3.15</v>
      </c>
      <c r="M178" s="2" t="s">
        <v>2</v>
      </c>
      <c r="N178">
        <v>9</v>
      </c>
      <c r="R178">
        <f t="shared" si="10"/>
        <v>283.5</v>
      </c>
      <c r="S178">
        <v>9</v>
      </c>
    </row>
    <row r="179" spans="1:25" hidden="1" x14ac:dyDescent="0.2">
      <c r="A179">
        <v>2461186</v>
      </c>
      <c r="B179" s="2" t="s">
        <v>363</v>
      </c>
      <c r="C179" s="2" t="s">
        <v>364</v>
      </c>
      <c r="E179" s="2" t="s">
        <v>16</v>
      </c>
      <c r="F179" s="2">
        <v>2</v>
      </c>
      <c r="G179" s="2" t="s">
        <v>16</v>
      </c>
      <c r="H179" s="2">
        <v>90</v>
      </c>
      <c r="I179" s="2">
        <v>3.15</v>
      </c>
      <c r="M179" s="2" t="s">
        <v>2</v>
      </c>
      <c r="N179">
        <v>10</v>
      </c>
      <c r="R179">
        <f t="shared" si="10"/>
        <v>283.5</v>
      </c>
      <c r="S179">
        <v>9</v>
      </c>
    </row>
    <row r="180" spans="1:25" hidden="1" x14ac:dyDescent="0.2">
      <c r="A180">
        <v>2461187</v>
      </c>
      <c r="B180" s="2" t="s">
        <v>365</v>
      </c>
      <c r="C180" s="2" t="s">
        <v>366</v>
      </c>
      <c r="E180" s="2" t="s">
        <v>16</v>
      </c>
      <c r="F180" s="2">
        <v>2</v>
      </c>
      <c r="G180" s="2" t="s">
        <v>16</v>
      </c>
      <c r="H180" s="2">
        <v>90</v>
      </c>
      <c r="I180" s="2">
        <v>3.15</v>
      </c>
      <c r="M180" s="2" t="s">
        <v>2</v>
      </c>
      <c r="N180">
        <v>10</v>
      </c>
      <c r="R180">
        <f t="shared" si="10"/>
        <v>283.5</v>
      </c>
      <c r="S180">
        <v>9</v>
      </c>
    </row>
    <row r="181" spans="1:25" hidden="1" x14ac:dyDescent="0.2">
      <c r="A181">
        <v>2461188</v>
      </c>
      <c r="B181" s="2" t="s">
        <v>367</v>
      </c>
      <c r="C181" s="2" t="s">
        <v>368</v>
      </c>
      <c r="E181" s="2" t="s">
        <v>16</v>
      </c>
      <c r="F181" s="2">
        <v>2</v>
      </c>
      <c r="G181" s="2" t="s">
        <v>16</v>
      </c>
      <c r="H181" s="2">
        <v>90</v>
      </c>
      <c r="I181" s="2">
        <v>3.15</v>
      </c>
      <c r="M181" s="2" t="s">
        <v>2</v>
      </c>
      <c r="N181">
        <v>9</v>
      </c>
      <c r="R181">
        <f t="shared" si="10"/>
        <v>283.5</v>
      </c>
      <c r="S181">
        <v>9</v>
      </c>
    </row>
    <row r="182" spans="1:25" hidden="1" x14ac:dyDescent="0.2">
      <c r="A182">
        <v>2461190</v>
      </c>
      <c r="B182" s="2" t="s">
        <v>369</v>
      </c>
      <c r="C182" s="2" t="s">
        <v>370</v>
      </c>
      <c r="E182" s="2" t="s">
        <v>16</v>
      </c>
      <c r="F182" s="2">
        <v>2</v>
      </c>
      <c r="G182" s="2" t="s">
        <v>16</v>
      </c>
      <c r="H182" s="2">
        <v>90</v>
      </c>
      <c r="I182" s="2">
        <v>3.15</v>
      </c>
      <c r="M182" s="2" t="s">
        <v>2</v>
      </c>
      <c r="N182">
        <v>10</v>
      </c>
      <c r="R182">
        <f t="shared" si="10"/>
        <v>283.5</v>
      </c>
      <c r="S182">
        <v>9</v>
      </c>
    </row>
    <row r="183" spans="1:25" hidden="1" x14ac:dyDescent="0.2">
      <c r="A183">
        <v>2461194</v>
      </c>
      <c r="B183" s="2" t="s">
        <v>371</v>
      </c>
      <c r="C183" s="2" t="s">
        <v>372</v>
      </c>
      <c r="E183" s="2" t="s">
        <v>16</v>
      </c>
      <c r="F183" s="2">
        <v>2</v>
      </c>
      <c r="G183" s="2" t="s">
        <v>16</v>
      </c>
      <c r="H183" s="2">
        <v>90</v>
      </c>
      <c r="I183" s="2">
        <v>3.2040000000000002</v>
      </c>
      <c r="M183" s="2" t="s">
        <v>2</v>
      </c>
      <c r="N183">
        <v>10</v>
      </c>
      <c r="R183">
        <f t="shared" si="10"/>
        <v>288.36</v>
      </c>
      <c r="S183">
        <v>9</v>
      </c>
    </row>
    <row r="184" spans="1:25" hidden="1" x14ac:dyDescent="0.2">
      <c r="A184">
        <v>2461195</v>
      </c>
      <c r="B184" s="2" t="s">
        <v>373</v>
      </c>
      <c r="C184" s="2" t="s">
        <v>374</v>
      </c>
      <c r="E184" s="2" t="s">
        <v>16</v>
      </c>
      <c r="F184" s="2">
        <v>2</v>
      </c>
      <c r="G184" s="2" t="s">
        <v>16</v>
      </c>
      <c r="H184" s="2">
        <v>90</v>
      </c>
      <c r="I184" s="2">
        <v>3.2040000000000002</v>
      </c>
      <c r="M184" s="2" t="s">
        <v>2</v>
      </c>
      <c r="N184">
        <v>10</v>
      </c>
      <c r="R184">
        <f t="shared" si="10"/>
        <v>288.36</v>
      </c>
      <c r="S184">
        <v>9</v>
      </c>
    </row>
    <row r="185" spans="1:25" hidden="1" x14ac:dyDescent="0.2">
      <c r="A185">
        <v>2461235</v>
      </c>
      <c r="B185" s="2" t="s">
        <v>375</v>
      </c>
      <c r="C185" s="2" t="s">
        <v>376</v>
      </c>
      <c r="E185" s="2" t="s">
        <v>16</v>
      </c>
      <c r="F185" s="2">
        <v>2</v>
      </c>
      <c r="G185" s="2" t="s">
        <v>16</v>
      </c>
      <c r="H185" s="2">
        <v>98</v>
      </c>
      <c r="I185" s="2">
        <v>2.52</v>
      </c>
      <c r="M185" s="2" t="s">
        <v>2</v>
      </c>
      <c r="N185">
        <v>14</v>
      </c>
      <c r="R185">
        <f t="shared" si="10"/>
        <v>246.96</v>
      </c>
      <c r="S185">
        <v>9</v>
      </c>
    </row>
    <row r="186" spans="1:25" hidden="1" x14ac:dyDescent="0.2">
      <c r="A186">
        <v>2461237</v>
      </c>
      <c r="B186" s="2" t="s">
        <v>377</v>
      </c>
      <c r="C186" s="2" t="s">
        <v>378</v>
      </c>
      <c r="E186" s="2" t="s">
        <v>16</v>
      </c>
      <c r="F186" s="2">
        <v>2</v>
      </c>
      <c r="G186" s="2" t="s">
        <v>16</v>
      </c>
      <c r="H186" s="2">
        <v>180</v>
      </c>
      <c r="I186" s="2">
        <v>2.52</v>
      </c>
      <c r="M186" s="2" t="s">
        <v>2</v>
      </c>
      <c r="N186">
        <v>18</v>
      </c>
      <c r="R186">
        <f t="shared" si="10"/>
        <v>453.6</v>
      </c>
      <c r="S186">
        <v>9</v>
      </c>
    </row>
    <row r="187" spans="1:25" hidden="1" x14ac:dyDescent="0.2">
      <c r="A187">
        <v>2461402</v>
      </c>
      <c r="B187" s="2" t="s">
        <v>379</v>
      </c>
      <c r="C187" s="2" t="s">
        <v>380</v>
      </c>
      <c r="E187" s="2" t="s">
        <v>16</v>
      </c>
      <c r="F187" s="2">
        <v>2</v>
      </c>
      <c r="G187" s="2" t="s">
        <v>16</v>
      </c>
      <c r="H187" s="2">
        <v>72</v>
      </c>
      <c r="I187" s="2">
        <v>1.5</v>
      </c>
      <c r="M187" s="2" t="s">
        <v>2</v>
      </c>
      <c r="N187">
        <v>12</v>
      </c>
      <c r="R187">
        <f t="shared" si="10"/>
        <v>108</v>
      </c>
      <c r="S187">
        <v>9</v>
      </c>
    </row>
    <row r="188" spans="1:25" hidden="1" x14ac:dyDescent="0.2">
      <c r="A188">
        <v>2461403</v>
      </c>
      <c r="B188" s="2" t="s">
        <v>381</v>
      </c>
      <c r="C188" s="2" t="s">
        <v>382</v>
      </c>
      <c r="E188" s="2" t="s">
        <v>16</v>
      </c>
      <c r="F188" s="2">
        <v>2</v>
      </c>
      <c r="G188" s="2" t="s">
        <v>16</v>
      </c>
      <c r="H188" s="2">
        <v>72</v>
      </c>
      <c r="I188" s="2">
        <v>1.5</v>
      </c>
      <c r="M188" s="2" t="s">
        <v>2</v>
      </c>
      <c r="N188">
        <v>12</v>
      </c>
      <c r="R188">
        <f t="shared" si="10"/>
        <v>108</v>
      </c>
      <c r="S188">
        <v>9</v>
      </c>
    </row>
    <row r="189" spans="1:25" hidden="1" x14ac:dyDescent="0.2">
      <c r="A189">
        <v>2461405</v>
      </c>
      <c r="B189" s="2" t="s">
        <v>383</v>
      </c>
      <c r="C189" s="2" t="s">
        <v>384</v>
      </c>
      <c r="E189" s="2" t="s">
        <v>16</v>
      </c>
      <c r="F189" s="2">
        <v>2</v>
      </c>
      <c r="G189" s="2" t="s">
        <v>16</v>
      </c>
      <c r="H189" s="2">
        <v>90</v>
      </c>
      <c r="I189" s="2">
        <v>1.5</v>
      </c>
      <c r="M189" s="2" t="s">
        <v>2</v>
      </c>
      <c r="N189">
        <v>12</v>
      </c>
      <c r="R189">
        <f t="shared" si="10"/>
        <v>135</v>
      </c>
      <c r="S189">
        <v>9</v>
      </c>
    </row>
    <row r="190" spans="1:25" hidden="1" x14ac:dyDescent="0.2">
      <c r="A190">
        <v>2461500</v>
      </c>
      <c r="B190" s="2" t="s">
        <v>385</v>
      </c>
      <c r="C190" s="2" t="s">
        <v>386</v>
      </c>
      <c r="E190" s="2" t="s">
        <v>16</v>
      </c>
      <c r="F190" s="2">
        <v>2</v>
      </c>
      <c r="G190" s="2" t="s">
        <v>16</v>
      </c>
      <c r="H190" s="2">
        <v>70</v>
      </c>
      <c r="I190" s="2">
        <v>3.96</v>
      </c>
      <c r="M190" s="2" t="s">
        <v>2</v>
      </c>
      <c r="N190">
        <v>10</v>
      </c>
      <c r="R190">
        <f t="shared" si="10"/>
        <v>277.2</v>
      </c>
      <c r="S190">
        <v>9</v>
      </c>
    </row>
    <row r="191" spans="1:25" hidden="1" x14ac:dyDescent="0.2">
      <c r="A191">
        <v>2461502</v>
      </c>
      <c r="B191" s="2" t="s">
        <v>387</v>
      </c>
      <c r="C191" s="2" t="s">
        <v>388</v>
      </c>
      <c r="E191" s="2" t="s">
        <v>16</v>
      </c>
      <c r="F191" s="2">
        <v>2</v>
      </c>
      <c r="G191" s="2" t="s">
        <v>16</v>
      </c>
      <c r="H191" s="2">
        <v>70</v>
      </c>
      <c r="I191" s="2">
        <v>4.5</v>
      </c>
      <c r="M191" s="2" t="s">
        <v>2</v>
      </c>
      <c r="N191">
        <v>10</v>
      </c>
      <c r="R191">
        <f t="shared" si="10"/>
        <v>315</v>
      </c>
      <c r="S191">
        <v>9</v>
      </c>
    </row>
    <row r="192" spans="1:25" hidden="1" x14ac:dyDescent="0.2">
      <c r="A192">
        <v>2461503</v>
      </c>
      <c r="B192" s="2" t="s">
        <v>389</v>
      </c>
      <c r="C192" s="2" t="s">
        <v>390</v>
      </c>
      <c r="E192" s="2" t="s">
        <v>16</v>
      </c>
      <c r="F192" s="2">
        <v>2</v>
      </c>
      <c r="G192" s="2" t="s">
        <v>16</v>
      </c>
      <c r="H192" s="2">
        <v>70</v>
      </c>
      <c r="I192" s="2">
        <v>4.5</v>
      </c>
      <c r="M192" s="2" t="s">
        <v>2</v>
      </c>
      <c r="N192">
        <v>10</v>
      </c>
      <c r="R192">
        <f t="shared" si="10"/>
        <v>315</v>
      </c>
      <c r="S192">
        <v>9</v>
      </c>
    </row>
    <row r="193" spans="1:25" hidden="1" x14ac:dyDescent="0.2">
      <c r="A193">
        <v>2461504</v>
      </c>
      <c r="B193" s="2" t="s">
        <v>391</v>
      </c>
      <c r="C193" s="2" t="s">
        <v>392</v>
      </c>
      <c r="E193" s="2" t="s">
        <v>16</v>
      </c>
      <c r="F193" s="2">
        <v>2</v>
      </c>
      <c r="G193" s="2" t="s">
        <v>16</v>
      </c>
      <c r="H193" s="2">
        <v>70</v>
      </c>
      <c r="I193" s="2">
        <v>3.96</v>
      </c>
      <c r="M193" s="2" t="s">
        <v>2</v>
      </c>
      <c r="N193">
        <v>10</v>
      </c>
      <c r="R193">
        <f t="shared" si="10"/>
        <v>277.2</v>
      </c>
      <c r="S193">
        <v>9</v>
      </c>
    </row>
    <row r="194" spans="1:25" x14ac:dyDescent="0.2">
      <c r="A194">
        <v>2461505</v>
      </c>
      <c r="B194" s="2" t="s">
        <v>393</v>
      </c>
      <c r="C194" s="2" t="s">
        <v>394</v>
      </c>
      <c r="E194" s="2" t="s">
        <v>16</v>
      </c>
      <c r="F194" s="2">
        <v>2</v>
      </c>
      <c r="G194" s="2" t="s">
        <v>16</v>
      </c>
      <c r="H194" s="2">
        <v>70</v>
      </c>
      <c r="I194" s="2">
        <v>4.5</v>
      </c>
      <c r="J194" s="2">
        <v>50</v>
      </c>
      <c r="K194" s="2">
        <v>40</v>
      </c>
      <c r="L194" s="2">
        <v>35</v>
      </c>
      <c r="M194" s="2" t="s">
        <v>2</v>
      </c>
      <c r="N194">
        <v>10</v>
      </c>
      <c r="R194">
        <f t="shared" si="10"/>
        <v>315</v>
      </c>
      <c r="S194">
        <v>9</v>
      </c>
      <c r="U194" t="s">
        <v>3</v>
      </c>
      <c r="V194" t="s">
        <v>3</v>
      </c>
      <c r="W194">
        <f>S194</f>
        <v>9</v>
      </c>
      <c r="X194">
        <f>R194+30</f>
        <v>345</v>
      </c>
      <c r="Y194" t="s">
        <v>3</v>
      </c>
    </row>
    <row r="195" spans="1:25" hidden="1" x14ac:dyDescent="0.2">
      <c r="A195">
        <v>2461507</v>
      </c>
      <c r="B195" s="2" t="s">
        <v>395</v>
      </c>
      <c r="C195" s="2" t="s">
        <v>396</v>
      </c>
      <c r="E195" s="2" t="s">
        <v>16</v>
      </c>
      <c r="F195" s="2">
        <v>2</v>
      </c>
      <c r="G195" s="2" t="s">
        <v>16</v>
      </c>
      <c r="H195" s="2">
        <v>70</v>
      </c>
      <c r="I195" s="2">
        <v>3.96</v>
      </c>
      <c r="M195" s="2" t="s">
        <v>2</v>
      </c>
      <c r="N195">
        <v>10</v>
      </c>
      <c r="R195">
        <f t="shared" ref="R195:R258" si="13">H195*I195</f>
        <v>277.2</v>
      </c>
      <c r="S195">
        <v>9</v>
      </c>
    </row>
    <row r="196" spans="1:25" hidden="1" x14ac:dyDescent="0.2">
      <c r="A196">
        <v>2461509</v>
      </c>
      <c r="B196" s="2" t="s">
        <v>397</v>
      </c>
      <c r="C196" s="2" t="s">
        <v>398</v>
      </c>
      <c r="E196" s="2" t="s">
        <v>16</v>
      </c>
      <c r="F196" s="2">
        <v>2</v>
      </c>
      <c r="G196" s="2" t="s">
        <v>16</v>
      </c>
      <c r="H196" s="2">
        <v>70</v>
      </c>
      <c r="I196" s="2">
        <v>4.5</v>
      </c>
      <c r="M196" s="2" t="s">
        <v>2</v>
      </c>
      <c r="N196">
        <v>10</v>
      </c>
      <c r="R196">
        <f t="shared" si="13"/>
        <v>315</v>
      </c>
      <c r="S196">
        <v>9</v>
      </c>
    </row>
    <row r="197" spans="1:25" hidden="1" x14ac:dyDescent="0.2">
      <c r="A197">
        <v>2461538</v>
      </c>
      <c r="B197" s="2" t="s">
        <v>399</v>
      </c>
      <c r="C197" s="2" t="s">
        <v>400</v>
      </c>
      <c r="E197" s="2" t="s">
        <v>16</v>
      </c>
      <c r="F197" s="2">
        <v>2</v>
      </c>
      <c r="G197" s="2" t="s">
        <v>16</v>
      </c>
      <c r="H197" s="2">
        <v>70</v>
      </c>
      <c r="I197" s="2">
        <v>4.5</v>
      </c>
      <c r="M197" s="2" t="s">
        <v>2</v>
      </c>
      <c r="N197">
        <v>10</v>
      </c>
      <c r="R197">
        <f t="shared" si="13"/>
        <v>315</v>
      </c>
      <c r="S197">
        <v>9</v>
      </c>
    </row>
    <row r="198" spans="1:25" hidden="1" x14ac:dyDescent="0.2">
      <c r="A198">
        <v>2461539</v>
      </c>
      <c r="B198" s="2" t="s">
        <v>401</v>
      </c>
      <c r="C198" s="2" t="s">
        <v>402</v>
      </c>
      <c r="E198" s="2" t="s">
        <v>16</v>
      </c>
      <c r="F198" s="2">
        <v>2</v>
      </c>
      <c r="G198" s="2" t="s">
        <v>16</v>
      </c>
      <c r="H198" s="2">
        <v>70</v>
      </c>
      <c r="I198" s="2">
        <v>4.5</v>
      </c>
      <c r="M198" s="2" t="s">
        <v>2</v>
      </c>
      <c r="N198">
        <v>10</v>
      </c>
      <c r="R198">
        <f t="shared" si="13"/>
        <v>315</v>
      </c>
      <c r="S198">
        <v>9</v>
      </c>
    </row>
    <row r="199" spans="1:25" hidden="1" x14ac:dyDescent="0.2">
      <c r="A199">
        <v>2461600</v>
      </c>
      <c r="B199" s="2" t="s">
        <v>403</v>
      </c>
      <c r="C199" s="2" t="s">
        <v>404</v>
      </c>
      <c r="E199" s="2" t="s">
        <v>16</v>
      </c>
      <c r="F199" s="2">
        <v>2</v>
      </c>
      <c r="G199" s="2" t="s">
        <v>16</v>
      </c>
      <c r="H199" s="2">
        <v>60</v>
      </c>
      <c r="I199" s="2">
        <v>3.6</v>
      </c>
      <c r="M199" s="2" t="s">
        <v>2</v>
      </c>
      <c r="N199">
        <v>10</v>
      </c>
      <c r="R199">
        <f t="shared" si="13"/>
        <v>216</v>
      </c>
      <c r="S199">
        <v>9</v>
      </c>
    </row>
    <row r="200" spans="1:25" hidden="1" x14ac:dyDescent="0.2">
      <c r="A200">
        <v>2461601</v>
      </c>
      <c r="B200" s="2" t="s">
        <v>405</v>
      </c>
      <c r="C200" s="2" t="s">
        <v>406</v>
      </c>
      <c r="E200" s="2" t="s">
        <v>16</v>
      </c>
      <c r="F200" s="2">
        <v>2</v>
      </c>
      <c r="G200" s="2" t="s">
        <v>16</v>
      </c>
      <c r="H200" s="2">
        <v>60</v>
      </c>
      <c r="I200" s="2">
        <v>3.6</v>
      </c>
      <c r="M200" s="2" t="s">
        <v>2</v>
      </c>
      <c r="N200">
        <v>10</v>
      </c>
      <c r="R200">
        <f t="shared" si="13"/>
        <v>216</v>
      </c>
      <c r="S200">
        <v>9</v>
      </c>
    </row>
    <row r="201" spans="1:25" hidden="1" x14ac:dyDescent="0.2">
      <c r="A201">
        <v>2480290</v>
      </c>
      <c r="B201" s="2" t="s">
        <v>407</v>
      </c>
      <c r="C201" s="2" t="s">
        <v>408</v>
      </c>
      <c r="E201" s="2" t="s">
        <v>16</v>
      </c>
      <c r="F201" s="2">
        <v>2</v>
      </c>
      <c r="G201" s="2" t="s">
        <v>16</v>
      </c>
      <c r="H201" s="2">
        <v>261</v>
      </c>
      <c r="I201" s="2">
        <v>1.74</v>
      </c>
      <c r="M201" s="2" t="s">
        <v>2</v>
      </c>
      <c r="N201">
        <v>29</v>
      </c>
      <c r="R201">
        <f t="shared" si="13"/>
        <v>454.14</v>
      </c>
      <c r="S201">
        <v>9</v>
      </c>
    </row>
    <row r="202" spans="1:25" hidden="1" x14ac:dyDescent="0.2">
      <c r="A202">
        <v>2480291</v>
      </c>
      <c r="B202" s="2" t="s">
        <v>409</v>
      </c>
      <c r="C202" s="2" t="s">
        <v>410</v>
      </c>
      <c r="E202" s="2" t="s">
        <v>16</v>
      </c>
      <c r="F202" s="2">
        <v>2</v>
      </c>
      <c r="G202" s="2" t="s">
        <v>16</v>
      </c>
      <c r="H202" s="2">
        <v>261</v>
      </c>
      <c r="I202" s="2">
        <v>1.62</v>
      </c>
      <c r="M202" s="2" t="s">
        <v>2</v>
      </c>
      <c r="N202">
        <v>29</v>
      </c>
      <c r="R202">
        <f t="shared" si="13"/>
        <v>422.82000000000005</v>
      </c>
      <c r="S202">
        <v>9</v>
      </c>
    </row>
    <row r="203" spans="1:25" hidden="1" x14ac:dyDescent="0.2">
      <c r="A203">
        <v>3061130</v>
      </c>
      <c r="B203" s="2" t="s">
        <v>411</v>
      </c>
      <c r="C203" s="2" t="s">
        <v>412</v>
      </c>
      <c r="E203" s="2" t="s">
        <v>16</v>
      </c>
      <c r="F203" s="2">
        <v>2</v>
      </c>
      <c r="G203" s="2" t="s">
        <v>16</v>
      </c>
      <c r="H203" s="2">
        <v>96</v>
      </c>
      <c r="I203" s="2">
        <v>3.12</v>
      </c>
      <c r="M203" s="2" t="s">
        <v>2</v>
      </c>
      <c r="N203">
        <v>8</v>
      </c>
      <c r="R203">
        <f t="shared" si="13"/>
        <v>299.52</v>
      </c>
      <c r="S203">
        <v>9</v>
      </c>
    </row>
    <row r="204" spans="1:25" hidden="1" x14ac:dyDescent="0.2">
      <c r="A204">
        <v>3061133</v>
      </c>
      <c r="B204" s="2" t="s">
        <v>413</v>
      </c>
      <c r="C204" s="2" t="s">
        <v>414</v>
      </c>
      <c r="E204" s="2" t="s">
        <v>16</v>
      </c>
      <c r="F204" s="2">
        <v>2</v>
      </c>
      <c r="G204" s="2" t="s">
        <v>16</v>
      </c>
      <c r="H204" s="2">
        <v>96</v>
      </c>
      <c r="I204" s="2">
        <v>3.12</v>
      </c>
      <c r="M204" s="2" t="s">
        <v>2</v>
      </c>
      <c r="N204">
        <v>8</v>
      </c>
      <c r="R204">
        <f t="shared" si="13"/>
        <v>299.52</v>
      </c>
      <c r="S204">
        <v>9</v>
      </c>
    </row>
    <row r="205" spans="1:25" hidden="1" x14ac:dyDescent="0.2">
      <c r="A205">
        <v>3061137</v>
      </c>
      <c r="B205" s="2" t="s">
        <v>415</v>
      </c>
      <c r="C205" s="2" t="s">
        <v>416</v>
      </c>
      <c r="E205" s="2" t="s">
        <v>16</v>
      </c>
      <c r="F205" s="2">
        <v>2</v>
      </c>
      <c r="G205" s="2" t="s">
        <v>16</v>
      </c>
      <c r="H205" s="2">
        <v>100</v>
      </c>
      <c r="I205" s="2">
        <v>3.2160000000000002</v>
      </c>
      <c r="M205" s="2" t="s">
        <v>2</v>
      </c>
      <c r="N205">
        <v>10</v>
      </c>
      <c r="R205">
        <f t="shared" si="13"/>
        <v>321.60000000000002</v>
      </c>
      <c r="S205">
        <v>9</v>
      </c>
    </row>
    <row r="206" spans="1:25" hidden="1" x14ac:dyDescent="0.2">
      <c r="A206">
        <v>3061221</v>
      </c>
      <c r="B206" s="2" t="s">
        <v>417</v>
      </c>
      <c r="C206" s="2" t="s">
        <v>418</v>
      </c>
      <c r="E206" s="2" t="s">
        <v>16</v>
      </c>
      <c r="F206" s="2">
        <v>2</v>
      </c>
      <c r="G206" s="2" t="s">
        <v>16</v>
      </c>
      <c r="H206" s="2">
        <v>64</v>
      </c>
      <c r="I206" s="2">
        <v>5.28</v>
      </c>
      <c r="M206" s="2" t="s">
        <v>2</v>
      </c>
      <c r="N206">
        <v>8</v>
      </c>
      <c r="R206">
        <f t="shared" si="13"/>
        <v>337.92</v>
      </c>
      <c r="S206">
        <v>9</v>
      </c>
    </row>
    <row r="207" spans="1:25" hidden="1" x14ac:dyDescent="0.2">
      <c r="A207">
        <v>3061222</v>
      </c>
      <c r="B207" s="2" t="s">
        <v>419</v>
      </c>
      <c r="C207" s="2" t="s">
        <v>420</v>
      </c>
      <c r="E207" s="2" t="s">
        <v>16</v>
      </c>
      <c r="F207" s="2">
        <v>2</v>
      </c>
      <c r="G207" s="2" t="s">
        <v>16</v>
      </c>
      <c r="H207" s="2">
        <v>64</v>
      </c>
      <c r="I207" s="2">
        <v>5.28</v>
      </c>
      <c r="M207" s="2" t="s">
        <v>2</v>
      </c>
      <c r="N207">
        <v>8</v>
      </c>
      <c r="R207">
        <f t="shared" si="13"/>
        <v>337.92</v>
      </c>
      <c r="S207">
        <v>9</v>
      </c>
    </row>
    <row r="208" spans="1:25" hidden="1" x14ac:dyDescent="0.2">
      <c r="A208">
        <v>3061224</v>
      </c>
      <c r="B208" s="2" t="s">
        <v>421</v>
      </c>
      <c r="C208" s="2" t="s">
        <v>422</v>
      </c>
      <c r="E208" s="2" t="s">
        <v>16</v>
      </c>
      <c r="F208" s="2">
        <v>2</v>
      </c>
      <c r="G208" s="2" t="s">
        <v>16</v>
      </c>
      <c r="H208" s="2">
        <v>66</v>
      </c>
      <c r="I208" s="2">
        <v>5.28</v>
      </c>
      <c r="M208" s="2" t="s">
        <v>2</v>
      </c>
      <c r="N208">
        <v>11</v>
      </c>
      <c r="R208">
        <f t="shared" si="13"/>
        <v>348.48</v>
      </c>
      <c r="S208">
        <v>9</v>
      </c>
    </row>
    <row r="209" spans="1:25" hidden="1" x14ac:dyDescent="0.2">
      <c r="A209">
        <v>3061225</v>
      </c>
      <c r="B209" s="2" t="s">
        <v>423</v>
      </c>
      <c r="C209" s="2" t="s">
        <v>424</v>
      </c>
      <c r="E209" s="2" t="s">
        <v>16</v>
      </c>
      <c r="F209" s="2">
        <v>2</v>
      </c>
      <c r="G209" s="2" t="s">
        <v>16</v>
      </c>
      <c r="H209" s="2">
        <v>36</v>
      </c>
      <c r="I209" s="2">
        <v>5.28</v>
      </c>
      <c r="M209" s="2" t="s">
        <v>2</v>
      </c>
      <c r="N209">
        <v>9</v>
      </c>
      <c r="R209">
        <f t="shared" si="13"/>
        <v>190.08</v>
      </c>
      <c r="S209">
        <v>9</v>
      </c>
    </row>
    <row r="210" spans="1:25" x14ac:dyDescent="0.2">
      <c r="A210">
        <v>3062000</v>
      </c>
      <c r="B210" s="2" t="s">
        <v>425</v>
      </c>
      <c r="C210" s="2" t="s">
        <v>426</v>
      </c>
      <c r="E210" s="2" t="s">
        <v>155</v>
      </c>
      <c r="F210" s="2">
        <v>2</v>
      </c>
      <c r="G210" s="2" t="s">
        <v>155</v>
      </c>
      <c r="H210" s="2">
        <v>48</v>
      </c>
      <c r="I210" s="2">
        <v>3</v>
      </c>
      <c r="J210" s="2">
        <v>50</v>
      </c>
      <c r="K210" s="2">
        <v>40</v>
      </c>
      <c r="L210" s="2">
        <v>35</v>
      </c>
      <c r="M210" s="2" t="s">
        <v>2</v>
      </c>
      <c r="N210">
        <v>8</v>
      </c>
      <c r="R210">
        <f t="shared" si="13"/>
        <v>144</v>
      </c>
      <c r="S210">
        <v>9</v>
      </c>
      <c r="U210" t="s">
        <v>3</v>
      </c>
      <c r="V210" t="s">
        <v>3</v>
      </c>
      <c r="W210">
        <f t="shared" ref="W210:W220" si="14">S210</f>
        <v>9</v>
      </c>
      <c r="X210">
        <f t="shared" ref="X210:X220" si="15">R210+30</f>
        <v>174</v>
      </c>
      <c r="Y210" t="s">
        <v>3</v>
      </c>
    </row>
    <row r="211" spans="1:25" x14ac:dyDescent="0.2">
      <c r="A211">
        <v>3062121</v>
      </c>
      <c r="B211" s="2" t="s">
        <v>427</v>
      </c>
      <c r="C211" s="2" t="s">
        <v>428</v>
      </c>
      <c r="E211" s="2" t="s">
        <v>16</v>
      </c>
      <c r="F211" s="2">
        <v>2</v>
      </c>
      <c r="G211" s="2" t="s">
        <v>16</v>
      </c>
      <c r="H211" s="2">
        <v>60</v>
      </c>
      <c r="I211" s="2">
        <v>2.7959999999999998</v>
      </c>
      <c r="J211" s="2">
        <v>50</v>
      </c>
      <c r="K211" s="2">
        <v>40</v>
      </c>
      <c r="L211" s="2">
        <v>35</v>
      </c>
      <c r="M211" s="2" t="s">
        <v>2</v>
      </c>
      <c r="N211">
        <v>10</v>
      </c>
      <c r="R211">
        <f t="shared" si="13"/>
        <v>167.76</v>
      </c>
      <c r="S211">
        <v>9</v>
      </c>
      <c r="U211" t="s">
        <v>3</v>
      </c>
      <c r="V211" t="s">
        <v>3</v>
      </c>
      <c r="W211">
        <f t="shared" si="14"/>
        <v>9</v>
      </c>
      <c r="X211">
        <f t="shared" si="15"/>
        <v>197.76</v>
      </c>
      <c r="Y211" t="s">
        <v>3</v>
      </c>
    </row>
    <row r="212" spans="1:25" x14ac:dyDescent="0.2">
      <c r="A212">
        <v>3062122</v>
      </c>
      <c r="B212" s="2" t="s">
        <v>429</v>
      </c>
      <c r="C212" s="2" t="s">
        <v>430</v>
      </c>
      <c r="E212" s="2" t="s">
        <v>16</v>
      </c>
      <c r="F212" s="2">
        <v>2</v>
      </c>
      <c r="G212" s="2" t="s">
        <v>16</v>
      </c>
      <c r="H212" s="2">
        <v>60</v>
      </c>
      <c r="I212" s="2">
        <v>2.7959999999999998</v>
      </c>
      <c r="J212" s="2">
        <v>50</v>
      </c>
      <c r="K212" s="2">
        <v>40</v>
      </c>
      <c r="L212" s="2">
        <v>35</v>
      </c>
      <c r="M212" s="2" t="s">
        <v>2</v>
      </c>
      <c r="N212">
        <v>10</v>
      </c>
      <c r="R212">
        <f t="shared" si="13"/>
        <v>167.76</v>
      </c>
      <c r="S212">
        <v>9</v>
      </c>
      <c r="U212" t="s">
        <v>3</v>
      </c>
      <c r="V212" t="s">
        <v>3</v>
      </c>
      <c r="W212">
        <f t="shared" si="14"/>
        <v>9</v>
      </c>
      <c r="X212">
        <f t="shared" si="15"/>
        <v>197.76</v>
      </c>
      <c r="Y212" t="s">
        <v>3</v>
      </c>
    </row>
    <row r="213" spans="1:25" x14ac:dyDescent="0.2">
      <c r="A213">
        <v>3062129</v>
      </c>
      <c r="B213" s="2" t="s">
        <v>431</v>
      </c>
      <c r="C213" s="2" t="s">
        <v>432</v>
      </c>
      <c r="E213" s="2" t="s">
        <v>19</v>
      </c>
      <c r="F213" s="2">
        <v>2</v>
      </c>
      <c r="G213" s="2" t="s">
        <v>19</v>
      </c>
      <c r="H213" s="2">
        <v>28</v>
      </c>
      <c r="I213" s="2">
        <v>2.7959999999999998</v>
      </c>
      <c r="J213" s="2">
        <v>50</v>
      </c>
      <c r="K213" s="2">
        <v>40</v>
      </c>
      <c r="L213" s="2">
        <v>35</v>
      </c>
      <c r="M213" s="2" t="s">
        <v>2</v>
      </c>
      <c r="N213">
        <v>4</v>
      </c>
      <c r="R213">
        <f t="shared" si="13"/>
        <v>78.287999999999997</v>
      </c>
      <c r="S213">
        <v>9</v>
      </c>
      <c r="U213" t="s">
        <v>3</v>
      </c>
      <c r="V213" t="s">
        <v>3</v>
      </c>
      <c r="W213">
        <f t="shared" si="14"/>
        <v>9</v>
      </c>
      <c r="X213">
        <f t="shared" si="15"/>
        <v>108.288</v>
      </c>
      <c r="Y213" t="s">
        <v>3</v>
      </c>
    </row>
    <row r="214" spans="1:25" x14ac:dyDescent="0.2">
      <c r="A214">
        <v>3062522</v>
      </c>
      <c r="B214" s="2" t="s">
        <v>433</v>
      </c>
      <c r="C214" s="2" t="s">
        <v>434</v>
      </c>
      <c r="E214" s="2" t="s">
        <v>16</v>
      </c>
      <c r="F214" s="2">
        <v>2</v>
      </c>
      <c r="G214" s="2" t="s">
        <v>16</v>
      </c>
      <c r="H214" s="2">
        <v>130</v>
      </c>
      <c r="I214" s="2">
        <v>1.96</v>
      </c>
      <c r="J214" s="2">
        <v>50</v>
      </c>
      <c r="K214" s="2">
        <v>40</v>
      </c>
      <c r="L214" s="2">
        <v>35</v>
      </c>
      <c r="M214" s="2" t="s">
        <v>2</v>
      </c>
      <c r="N214">
        <v>13</v>
      </c>
      <c r="R214">
        <f t="shared" si="13"/>
        <v>254.79999999999998</v>
      </c>
      <c r="S214">
        <v>9</v>
      </c>
      <c r="U214" t="s">
        <v>3</v>
      </c>
      <c r="V214" t="s">
        <v>3</v>
      </c>
      <c r="W214">
        <f t="shared" si="14"/>
        <v>9</v>
      </c>
      <c r="X214">
        <f t="shared" si="15"/>
        <v>284.79999999999995</v>
      </c>
      <c r="Y214" t="s">
        <v>3</v>
      </c>
    </row>
    <row r="215" spans="1:25" x14ac:dyDescent="0.2">
      <c r="A215">
        <v>3062524</v>
      </c>
      <c r="B215" s="2" t="s">
        <v>435</v>
      </c>
      <c r="C215" s="2" t="s">
        <v>436</v>
      </c>
      <c r="E215" s="2" t="s">
        <v>16</v>
      </c>
      <c r="F215" s="2">
        <v>2</v>
      </c>
      <c r="G215" s="2" t="s">
        <v>16</v>
      </c>
      <c r="H215" s="2">
        <v>100</v>
      </c>
      <c r="I215" s="2">
        <v>2.8</v>
      </c>
      <c r="J215" s="2">
        <v>50</v>
      </c>
      <c r="K215" s="2">
        <v>40</v>
      </c>
      <c r="L215" s="2">
        <v>35</v>
      </c>
      <c r="M215" s="2" t="s">
        <v>2</v>
      </c>
      <c r="N215">
        <v>10</v>
      </c>
      <c r="R215">
        <f t="shared" si="13"/>
        <v>280</v>
      </c>
      <c r="S215">
        <v>9</v>
      </c>
      <c r="U215" t="s">
        <v>3</v>
      </c>
      <c r="V215" t="s">
        <v>3</v>
      </c>
      <c r="W215">
        <f t="shared" si="14"/>
        <v>9</v>
      </c>
      <c r="X215">
        <f t="shared" si="15"/>
        <v>310</v>
      </c>
      <c r="Y215" t="s">
        <v>3</v>
      </c>
    </row>
    <row r="216" spans="1:25" x14ac:dyDescent="0.2">
      <c r="A216">
        <v>3062525</v>
      </c>
      <c r="B216" s="2" t="s">
        <v>437</v>
      </c>
      <c r="C216" s="2" t="s">
        <v>438</v>
      </c>
      <c r="E216" s="2" t="s">
        <v>16</v>
      </c>
      <c r="F216" s="2">
        <v>2</v>
      </c>
      <c r="G216" s="2" t="s">
        <v>16</v>
      </c>
      <c r="H216" s="2">
        <v>130</v>
      </c>
      <c r="I216" s="2">
        <v>1.96</v>
      </c>
      <c r="J216" s="2">
        <v>50</v>
      </c>
      <c r="K216" s="2">
        <v>40</v>
      </c>
      <c r="L216" s="2">
        <v>35</v>
      </c>
      <c r="M216" s="2" t="s">
        <v>2</v>
      </c>
      <c r="N216">
        <v>13</v>
      </c>
      <c r="R216">
        <f t="shared" si="13"/>
        <v>254.79999999999998</v>
      </c>
      <c r="S216">
        <v>9</v>
      </c>
      <c r="U216" t="s">
        <v>3</v>
      </c>
      <c r="V216" t="s">
        <v>3</v>
      </c>
      <c r="W216">
        <f t="shared" si="14"/>
        <v>9</v>
      </c>
      <c r="X216">
        <f t="shared" si="15"/>
        <v>284.79999999999995</v>
      </c>
      <c r="Y216" t="s">
        <v>3</v>
      </c>
    </row>
    <row r="217" spans="1:25" x14ac:dyDescent="0.2">
      <c r="A217">
        <v>3062526</v>
      </c>
      <c r="B217" s="2" t="s">
        <v>439</v>
      </c>
      <c r="C217" s="2" t="s">
        <v>440</v>
      </c>
      <c r="E217" s="2" t="s">
        <v>16</v>
      </c>
      <c r="F217" s="2">
        <v>2</v>
      </c>
      <c r="G217" s="2" t="s">
        <v>16</v>
      </c>
      <c r="H217" s="2">
        <v>130</v>
      </c>
      <c r="I217" s="2">
        <v>1.96</v>
      </c>
      <c r="J217" s="2">
        <v>50</v>
      </c>
      <c r="K217" s="2">
        <v>40</v>
      </c>
      <c r="L217" s="2">
        <v>35</v>
      </c>
      <c r="M217" s="2" t="s">
        <v>2</v>
      </c>
      <c r="N217">
        <v>13</v>
      </c>
      <c r="R217">
        <f t="shared" si="13"/>
        <v>254.79999999999998</v>
      </c>
      <c r="S217">
        <v>9</v>
      </c>
      <c r="U217" t="s">
        <v>3</v>
      </c>
      <c r="V217" t="s">
        <v>3</v>
      </c>
      <c r="W217">
        <f t="shared" si="14"/>
        <v>9</v>
      </c>
      <c r="X217">
        <f t="shared" si="15"/>
        <v>284.79999999999995</v>
      </c>
      <c r="Y217" t="s">
        <v>3</v>
      </c>
    </row>
    <row r="218" spans="1:25" x14ac:dyDescent="0.2">
      <c r="A218">
        <v>3062527</v>
      </c>
      <c r="B218" s="2" t="s">
        <v>441</v>
      </c>
      <c r="C218" s="2" t="s">
        <v>442</v>
      </c>
      <c r="E218" s="2" t="s">
        <v>16</v>
      </c>
      <c r="F218" s="2">
        <v>2</v>
      </c>
      <c r="G218" s="2" t="s">
        <v>16</v>
      </c>
      <c r="H218" s="2">
        <v>130</v>
      </c>
      <c r="I218" s="2">
        <v>1.96</v>
      </c>
      <c r="J218" s="2">
        <v>50</v>
      </c>
      <c r="K218" s="2">
        <v>40</v>
      </c>
      <c r="L218" s="2">
        <v>35</v>
      </c>
      <c r="M218" s="2" t="s">
        <v>2</v>
      </c>
      <c r="N218">
        <v>13</v>
      </c>
      <c r="R218">
        <f t="shared" si="13"/>
        <v>254.79999999999998</v>
      </c>
      <c r="S218">
        <v>9</v>
      </c>
      <c r="U218" t="s">
        <v>3</v>
      </c>
      <c r="V218" t="s">
        <v>3</v>
      </c>
      <c r="W218">
        <f t="shared" si="14"/>
        <v>9</v>
      </c>
      <c r="X218">
        <f t="shared" si="15"/>
        <v>284.79999999999995</v>
      </c>
      <c r="Y218" t="s">
        <v>3</v>
      </c>
    </row>
    <row r="219" spans="1:25" x14ac:dyDescent="0.2">
      <c r="A219">
        <v>6380500</v>
      </c>
      <c r="B219" s="2" t="s">
        <v>443</v>
      </c>
      <c r="C219" s="2" t="s">
        <v>444</v>
      </c>
      <c r="E219" s="2" t="s">
        <v>16</v>
      </c>
      <c r="F219" s="2">
        <v>2</v>
      </c>
      <c r="G219" s="2" t="s">
        <v>16</v>
      </c>
      <c r="H219" s="2">
        <v>48</v>
      </c>
      <c r="I219" s="2">
        <v>12</v>
      </c>
      <c r="J219" s="2">
        <v>50</v>
      </c>
      <c r="K219" s="2">
        <v>40</v>
      </c>
      <c r="L219" s="2">
        <v>35</v>
      </c>
      <c r="M219" s="2" t="s">
        <v>2</v>
      </c>
      <c r="N219">
        <v>8</v>
      </c>
      <c r="R219">
        <f t="shared" si="13"/>
        <v>576</v>
      </c>
      <c r="S219">
        <v>9</v>
      </c>
      <c r="U219" t="s">
        <v>3</v>
      </c>
      <c r="V219" t="s">
        <v>3</v>
      </c>
      <c r="W219">
        <f t="shared" si="14"/>
        <v>9</v>
      </c>
      <c r="X219">
        <f t="shared" si="15"/>
        <v>606</v>
      </c>
      <c r="Y219" t="s">
        <v>3</v>
      </c>
    </row>
    <row r="220" spans="1:25" x14ac:dyDescent="0.2">
      <c r="A220">
        <v>6380600</v>
      </c>
      <c r="B220" s="2" t="s">
        <v>445</v>
      </c>
      <c r="C220" s="2" t="s">
        <v>446</v>
      </c>
      <c r="E220" s="2" t="s">
        <v>16</v>
      </c>
      <c r="F220" s="2">
        <v>2</v>
      </c>
      <c r="G220" s="2" t="s">
        <v>16</v>
      </c>
      <c r="H220" s="2">
        <v>96</v>
      </c>
      <c r="I220" s="2">
        <v>6</v>
      </c>
      <c r="J220" s="2">
        <v>50</v>
      </c>
      <c r="K220" s="2">
        <v>40</v>
      </c>
      <c r="L220" s="2">
        <v>35</v>
      </c>
      <c r="M220" s="2" t="s">
        <v>2</v>
      </c>
      <c r="N220">
        <v>12</v>
      </c>
      <c r="R220">
        <f t="shared" si="13"/>
        <v>576</v>
      </c>
      <c r="S220">
        <v>9</v>
      </c>
      <c r="U220" t="s">
        <v>3</v>
      </c>
      <c r="V220" t="s">
        <v>3</v>
      </c>
      <c r="W220">
        <f t="shared" si="14"/>
        <v>9</v>
      </c>
      <c r="X220">
        <f t="shared" si="15"/>
        <v>606</v>
      </c>
      <c r="Y220" t="s">
        <v>3</v>
      </c>
    </row>
    <row r="221" spans="1:25" hidden="1" x14ac:dyDescent="0.2">
      <c r="A221">
        <v>6381203</v>
      </c>
      <c r="B221" s="2" t="s">
        <v>447</v>
      </c>
      <c r="C221" s="2" t="s">
        <v>448</v>
      </c>
      <c r="E221" s="2" t="s">
        <v>16</v>
      </c>
      <c r="F221" s="2">
        <v>2</v>
      </c>
      <c r="G221" s="2" t="s">
        <v>16</v>
      </c>
      <c r="H221" s="2">
        <v>98</v>
      </c>
      <c r="I221" s="2">
        <v>4.55</v>
      </c>
      <c r="M221" s="2" t="s">
        <v>2</v>
      </c>
      <c r="N221">
        <v>14</v>
      </c>
      <c r="R221">
        <f t="shared" si="13"/>
        <v>445.9</v>
      </c>
      <c r="S221">
        <v>9</v>
      </c>
    </row>
    <row r="222" spans="1:25" x14ac:dyDescent="0.2">
      <c r="A222">
        <v>6381213</v>
      </c>
      <c r="B222" s="2" t="s">
        <v>449</v>
      </c>
      <c r="C222" s="2" t="s">
        <v>450</v>
      </c>
      <c r="E222" s="2" t="s">
        <v>16</v>
      </c>
      <c r="F222" s="2">
        <v>2</v>
      </c>
      <c r="G222" s="2" t="s">
        <v>16</v>
      </c>
      <c r="H222" s="2">
        <v>98</v>
      </c>
      <c r="I222" s="2">
        <v>4.55</v>
      </c>
      <c r="J222" s="2">
        <v>50</v>
      </c>
      <c r="K222" s="2">
        <v>40</v>
      </c>
      <c r="L222" s="2">
        <v>35</v>
      </c>
      <c r="M222" s="2" t="s">
        <v>2</v>
      </c>
      <c r="N222">
        <v>14</v>
      </c>
      <c r="R222">
        <f t="shared" si="13"/>
        <v>445.9</v>
      </c>
      <c r="S222">
        <v>9</v>
      </c>
      <c r="U222" t="s">
        <v>3</v>
      </c>
      <c r="V222" t="s">
        <v>3</v>
      </c>
      <c r="W222">
        <f t="shared" ref="W222:W230" si="16">S222</f>
        <v>9</v>
      </c>
      <c r="X222">
        <f t="shared" ref="X222:X230" si="17">R222+30</f>
        <v>475.9</v>
      </c>
      <c r="Y222" t="s">
        <v>3</v>
      </c>
    </row>
    <row r="223" spans="1:25" x14ac:dyDescent="0.2">
      <c r="A223">
        <v>6500404</v>
      </c>
      <c r="B223" s="2" t="s">
        <v>451</v>
      </c>
      <c r="C223" s="2" t="s">
        <v>452</v>
      </c>
      <c r="E223" s="2" t="s">
        <v>1</v>
      </c>
      <c r="F223" s="2">
        <v>2</v>
      </c>
      <c r="G223" s="2" t="s">
        <v>1</v>
      </c>
      <c r="H223" s="2">
        <v>155</v>
      </c>
      <c r="I223" s="2">
        <v>0.55000000000000004</v>
      </c>
      <c r="J223" s="2">
        <v>50</v>
      </c>
      <c r="K223" s="2">
        <v>40</v>
      </c>
      <c r="L223" s="2">
        <v>35</v>
      </c>
      <c r="M223" s="2" t="s">
        <v>2</v>
      </c>
      <c r="N223">
        <v>31</v>
      </c>
      <c r="R223">
        <f t="shared" si="13"/>
        <v>85.25</v>
      </c>
      <c r="S223">
        <v>9</v>
      </c>
      <c r="U223" t="s">
        <v>3</v>
      </c>
      <c r="V223" t="s">
        <v>3</v>
      </c>
      <c r="W223">
        <f t="shared" si="16"/>
        <v>9</v>
      </c>
      <c r="X223">
        <f t="shared" si="17"/>
        <v>115.25</v>
      </c>
      <c r="Y223" t="s">
        <v>3</v>
      </c>
    </row>
    <row r="224" spans="1:25" x14ac:dyDescent="0.2">
      <c r="A224">
        <v>6500405</v>
      </c>
      <c r="B224" s="2" t="s">
        <v>453</v>
      </c>
      <c r="C224" s="2" t="s">
        <v>454</v>
      </c>
      <c r="E224" s="2" t="s">
        <v>1</v>
      </c>
      <c r="F224" s="2">
        <v>2</v>
      </c>
      <c r="G224" s="2" t="s">
        <v>1</v>
      </c>
      <c r="H224" s="2">
        <v>155</v>
      </c>
      <c r="I224" s="2">
        <v>0.56999999999999995</v>
      </c>
      <c r="J224" s="2">
        <v>50</v>
      </c>
      <c r="K224" s="2">
        <v>40</v>
      </c>
      <c r="L224" s="2">
        <v>35</v>
      </c>
      <c r="M224" s="2" t="s">
        <v>2</v>
      </c>
      <c r="N224">
        <v>31</v>
      </c>
      <c r="R224">
        <f t="shared" si="13"/>
        <v>88.35</v>
      </c>
      <c r="S224">
        <v>9</v>
      </c>
      <c r="U224" t="s">
        <v>3</v>
      </c>
      <c r="V224" t="s">
        <v>3</v>
      </c>
      <c r="W224">
        <f t="shared" si="16"/>
        <v>9</v>
      </c>
      <c r="X224">
        <f t="shared" si="17"/>
        <v>118.35</v>
      </c>
      <c r="Y224" t="s">
        <v>3</v>
      </c>
    </row>
    <row r="225" spans="1:25" x14ac:dyDescent="0.2">
      <c r="A225">
        <v>6500406</v>
      </c>
      <c r="B225" s="2" t="s">
        <v>455</v>
      </c>
      <c r="C225" s="2" t="s">
        <v>456</v>
      </c>
      <c r="E225" s="2" t="s">
        <v>1</v>
      </c>
      <c r="F225" s="2">
        <v>2</v>
      </c>
      <c r="G225" s="2" t="s">
        <v>1</v>
      </c>
      <c r="H225" s="2">
        <v>155</v>
      </c>
      <c r="I225" s="2">
        <v>0.55000000000000004</v>
      </c>
      <c r="J225" s="2">
        <v>50</v>
      </c>
      <c r="K225" s="2">
        <v>40</v>
      </c>
      <c r="L225" s="2">
        <v>35</v>
      </c>
      <c r="M225" s="2" t="s">
        <v>2</v>
      </c>
      <c r="N225">
        <v>31</v>
      </c>
      <c r="R225">
        <f t="shared" si="13"/>
        <v>85.25</v>
      </c>
      <c r="S225">
        <v>9</v>
      </c>
      <c r="U225" t="s">
        <v>3</v>
      </c>
      <c r="V225" t="s">
        <v>3</v>
      </c>
      <c r="W225">
        <f t="shared" si="16"/>
        <v>9</v>
      </c>
      <c r="X225">
        <f t="shared" si="17"/>
        <v>115.25</v>
      </c>
      <c r="Y225" t="s">
        <v>3</v>
      </c>
    </row>
    <row r="226" spans="1:25" x14ac:dyDescent="0.2">
      <c r="A226">
        <v>6500407</v>
      </c>
      <c r="B226" s="2" t="s">
        <v>457</v>
      </c>
      <c r="C226" s="2" t="s">
        <v>458</v>
      </c>
      <c r="E226" s="2" t="s">
        <v>1</v>
      </c>
      <c r="F226" s="2">
        <v>2</v>
      </c>
      <c r="G226" s="2" t="s">
        <v>1</v>
      </c>
      <c r="H226" s="2">
        <v>155</v>
      </c>
      <c r="I226" s="2">
        <v>0.57999999999999996</v>
      </c>
      <c r="J226" s="2">
        <v>50</v>
      </c>
      <c r="K226" s="2">
        <v>40</v>
      </c>
      <c r="L226" s="2">
        <v>35</v>
      </c>
      <c r="M226" s="2" t="s">
        <v>2</v>
      </c>
      <c r="N226">
        <v>31</v>
      </c>
      <c r="R226">
        <f t="shared" si="13"/>
        <v>89.899999999999991</v>
      </c>
      <c r="S226">
        <v>9</v>
      </c>
      <c r="U226" t="s">
        <v>3</v>
      </c>
      <c r="V226" t="s">
        <v>3</v>
      </c>
      <c r="W226">
        <f t="shared" si="16"/>
        <v>9</v>
      </c>
      <c r="X226">
        <f t="shared" si="17"/>
        <v>119.89999999999999</v>
      </c>
      <c r="Y226" t="s">
        <v>3</v>
      </c>
    </row>
    <row r="227" spans="1:25" x14ac:dyDescent="0.2">
      <c r="A227">
        <v>6500408</v>
      </c>
      <c r="B227" s="2" t="s">
        <v>459</v>
      </c>
      <c r="C227" s="2" t="s">
        <v>460</v>
      </c>
      <c r="E227" s="2" t="s">
        <v>1</v>
      </c>
      <c r="F227" s="2">
        <v>2</v>
      </c>
      <c r="G227" s="2" t="s">
        <v>1</v>
      </c>
      <c r="H227" s="2">
        <v>155</v>
      </c>
      <c r="I227" s="2">
        <v>0.56999999999999995</v>
      </c>
      <c r="J227" s="2">
        <v>50</v>
      </c>
      <c r="K227" s="2">
        <v>40</v>
      </c>
      <c r="L227" s="2">
        <v>35</v>
      </c>
      <c r="M227" s="2" t="s">
        <v>2</v>
      </c>
      <c r="N227">
        <v>31</v>
      </c>
      <c r="R227">
        <f t="shared" si="13"/>
        <v>88.35</v>
      </c>
      <c r="S227">
        <v>9</v>
      </c>
      <c r="U227" t="s">
        <v>3</v>
      </c>
      <c r="V227" t="s">
        <v>3</v>
      </c>
      <c r="W227">
        <f t="shared" si="16"/>
        <v>9</v>
      </c>
      <c r="X227">
        <f t="shared" si="17"/>
        <v>118.35</v>
      </c>
      <c r="Y227" t="s">
        <v>3</v>
      </c>
    </row>
    <row r="228" spans="1:25" x14ac:dyDescent="0.2">
      <c r="A228">
        <v>6500409</v>
      </c>
      <c r="B228" s="2" t="s">
        <v>461</v>
      </c>
      <c r="C228" s="2" t="s">
        <v>462</v>
      </c>
      <c r="E228" s="2" t="s">
        <v>1</v>
      </c>
      <c r="F228" s="2">
        <v>2</v>
      </c>
      <c r="G228" s="2" t="s">
        <v>1</v>
      </c>
      <c r="H228" s="2">
        <v>155</v>
      </c>
      <c r="I228" s="2">
        <v>0.5</v>
      </c>
      <c r="J228" s="2">
        <v>50</v>
      </c>
      <c r="K228" s="2">
        <v>40</v>
      </c>
      <c r="L228" s="2">
        <v>35</v>
      </c>
      <c r="M228" s="2" t="s">
        <v>2</v>
      </c>
      <c r="N228">
        <v>31</v>
      </c>
      <c r="R228">
        <f t="shared" si="13"/>
        <v>77.5</v>
      </c>
      <c r="S228">
        <v>9</v>
      </c>
      <c r="U228" t="s">
        <v>3</v>
      </c>
      <c r="V228" t="s">
        <v>3</v>
      </c>
      <c r="W228">
        <f t="shared" si="16"/>
        <v>9</v>
      </c>
      <c r="X228">
        <f t="shared" si="17"/>
        <v>107.5</v>
      </c>
      <c r="Y228" t="s">
        <v>3</v>
      </c>
    </row>
    <row r="229" spans="1:25" x14ac:dyDescent="0.2">
      <c r="A229">
        <v>6500511</v>
      </c>
      <c r="B229" s="2" t="s">
        <v>463</v>
      </c>
      <c r="C229" s="2" t="s">
        <v>464</v>
      </c>
      <c r="E229" s="2" t="s">
        <v>1</v>
      </c>
      <c r="F229" s="2">
        <v>2</v>
      </c>
      <c r="G229" s="2" t="s">
        <v>1</v>
      </c>
      <c r="H229" s="2">
        <v>120</v>
      </c>
      <c r="I229" s="2">
        <v>1.792</v>
      </c>
      <c r="J229" s="2">
        <v>50</v>
      </c>
      <c r="K229" s="2">
        <v>40</v>
      </c>
      <c r="L229" s="2">
        <v>35</v>
      </c>
      <c r="M229" s="2" t="s">
        <v>2</v>
      </c>
      <c r="N229">
        <v>12</v>
      </c>
      <c r="R229">
        <f t="shared" si="13"/>
        <v>215.04</v>
      </c>
      <c r="S229">
        <v>9</v>
      </c>
      <c r="U229" t="s">
        <v>3</v>
      </c>
      <c r="V229" t="s">
        <v>3</v>
      </c>
      <c r="W229">
        <f t="shared" si="16"/>
        <v>9</v>
      </c>
      <c r="X229">
        <f t="shared" si="17"/>
        <v>245.04</v>
      </c>
      <c r="Y229" t="s">
        <v>3</v>
      </c>
    </row>
    <row r="230" spans="1:25" x14ac:dyDescent="0.2">
      <c r="A230">
        <v>6500514</v>
      </c>
      <c r="B230" s="2" t="s">
        <v>465</v>
      </c>
      <c r="C230" s="2" t="s">
        <v>466</v>
      </c>
      <c r="E230" s="2" t="s">
        <v>1</v>
      </c>
      <c r="F230" s="2">
        <v>2</v>
      </c>
      <c r="G230" s="2" t="s">
        <v>1</v>
      </c>
      <c r="H230" s="2">
        <v>120</v>
      </c>
      <c r="I230" s="2">
        <v>2.6560000000000001</v>
      </c>
      <c r="J230" s="2">
        <v>50</v>
      </c>
      <c r="K230" s="2">
        <v>40</v>
      </c>
      <c r="L230" s="2">
        <v>35</v>
      </c>
      <c r="M230" s="2" t="s">
        <v>2</v>
      </c>
      <c r="N230">
        <v>12</v>
      </c>
      <c r="R230">
        <f t="shared" si="13"/>
        <v>318.72000000000003</v>
      </c>
      <c r="S230">
        <v>9</v>
      </c>
      <c r="U230" t="s">
        <v>3</v>
      </c>
      <c r="V230" t="s">
        <v>3</v>
      </c>
      <c r="W230">
        <f t="shared" si="16"/>
        <v>9</v>
      </c>
      <c r="X230">
        <f t="shared" si="17"/>
        <v>348.72</v>
      </c>
      <c r="Y230" t="s">
        <v>3</v>
      </c>
    </row>
    <row r="231" spans="1:25" hidden="1" x14ac:dyDescent="0.2">
      <c r="A231">
        <v>6500515</v>
      </c>
      <c r="B231" s="2" t="s">
        <v>467</v>
      </c>
      <c r="C231" s="2" t="s">
        <v>468</v>
      </c>
      <c r="E231" s="2" t="s">
        <v>1</v>
      </c>
      <c r="F231" s="2">
        <v>2</v>
      </c>
      <c r="G231" s="2" t="s">
        <v>1</v>
      </c>
      <c r="H231" s="2">
        <v>120</v>
      </c>
      <c r="I231" s="2">
        <v>1.92</v>
      </c>
      <c r="M231" s="2" t="s">
        <v>2</v>
      </c>
      <c r="N231">
        <v>12</v>
      </c>
      <c r="R231">
        <f t="shared" si="13"/>
        <v>230.39999999999998</v>
      </c>
      <c r="S231">
        <v>9</v>
      </c>
    </row>
    <row r="232" spans="1:25" hidden="1" x14ac:dyDescent="0.2">
      <c r="A232">
        <v>6500516</v>
      </c>
      <c r="B232" s="2" t="s">
        <v>469</v>
      </c>
      <c r="C232" s="2" t="s">
        <v>470</v>
      </c>
      <c r="E232" s="2" t="s">
        <v>1</v>
      </c>
      <c r="F232" s="2">
        <v>2</v>
      </c>
      <c r="G232" s="2" t="s">
        <v>1</v>
      </c>
      <c r="H232" s="2">
        <v>120</v>
      </c>
      <c r="I232" s="2">
        <v>1.92</v>
      </c>
      <c r="M232" s="2" t="s">
        <v>2</v>
      </c>
      <c r="N232">
        <v>12</v>
      </c>
      <c r="R232">
        <f t="shared" si="13"/>
        <v>230.39999999999998</v>
      </c>
      <c r="S232">
        <v>9</v>
      </c>
    </row>
    <row r="233" spans="1:25" hidden="1" x14ac:dyDescent="0.2">
      <c r="A233">
        <v>6500517</v>
      </c>
      <c r="B233" s="2" t="s">
        <v>471</v>
      </c>
      <c r="C233" s="2" t="s">
        <v>472</v>
      </c>
      <c r="E233" s="2" t="s">
        <v>1</v>
      </c>
      <c r="F233" s="2">
        <v>2</v>
      </c>
      <c r="G233" s="2" t="s">
        <v>1</v>
      </c>
      <c r="H233" s="2">
        <v>120</v>
      </c>
      <c r="I233" s="2">
        <v>1.92</v>
      </c>
      <c r="M233" s="2" t="s">
        <v>2</v>
      </c>
      <c r="N233">
        <v>12</v>
      </c>
      <c r="R233">
        <f t="shared" si="13"/>
        <v>230.39999999999998</v>
      </c>
      <c r="S233">
        <v>9</v>
      </c>
    </row>
    <row r="234" spans="1:25" hidden="1" x14ac:dyDescent="0.2">
      <c r="A234">
        <v>6500518</v>
      </c>
      <c r="B234" s="2" t="s">
        <v>473</v>
      </c>
      <c r="C234" s="2" t="s">
        <v>474</v>
      </c>
      <c r="E234" s="2" t="s">
        <v>1</v>
      </c>
      <c r="F234" s="2">
        <v>2</v>
      </c>
      <c r="G234" s="2" t="s">
        <v>1</v>
      </c>
      <c r="H234" s="2">
        <v>120</v>
      </c>
      <c r="I234" s="2">
        <v>1.92</v>
      </c>
      <c r="M234" s="2" t="s">
        <v>2</v>
      </c>
      <c r="N234">
        <v>12</v>
      </c>
      <c r="R234">
        <f t="shared" si="13"/>
        <v>230.39999999999998</v>
      </c>
      <c r="S234">
        <v>9</v>
      </c>
    </row>
    <row r="235" spans="1:25" hidden="1" x14ac:dyDescent="0.2">
      <c r="A235">
        <v>6500521</v>
      </c>
      <c r="B235" s="2" t="s">
        <v>475</v>
      </c>
      <c r="C235" s="2" t="s">
        <v>476</v>
      </c>
      <c r="E235" s="2" t="s">
        <v>1</v>
      </c>
      <c r="F235" s="2">
        <v>2</v>
      </c>
      <c r="G235" s="2" t="s">
        <v>1</v>
      </c>
      <c r="H235" s="2">
        <v>120</v>
      </c>
      <c r="I235" s="2">
        <v>1.92</v>
      </c>
      <c r="M235" s="2" t="s">
        <v>2</v>
      </c>
      <c r="N235">
        <v>12</v>
      </c>
      <c r="R235">
        <f t="shared" si="13"/>
        <v>230.39999999999998</v>
      </c>
      <c r="S235">
        <v>9</v>
      </c>
    </row>
    <row r="236" spans="1:25" hidden="1" x14ac:dyDescent="0.2">
      <c r="A236">
        <v>6500522</v>
      </c>
      <c r="B236" s="2" t="s">
        <v>477</v>
      </c>
      <c r="C236" s="2" t="s">
        <v>478</v>
      </c>
      <c r="E236" s="2" t="s">
        <v>1</v>
      </c>
      <c r="F236" s="2">
        <v>2</v>
      </c>
      <c r="G236" s="2" t="s">
        <v>1</v>
      </c>
      <c r="H236" s="2">
        <v>120</v>
      </c>
      <c r="I236" s="2">
        <v>1.92</v>
      </c>
      <c r="M236" s="2" t="s">
        <v>2</v>
      </c>
      <c r="N236">
        <v>12</v>
      </c>
      <c r="R236">
        <f t="shared" si="13"/>
        <v>230.39999999999998</v>
      </c>
      <c r="S236">
        <v>9</v>
      </c>
    </row>
    <row r="237" spans="1:25" hidden="1" x14ac:dyDescent="0.2">
      <c r="A237">
        <v>6500557</v>
      </c>
      <c r="B237" s="2" t="s">
        <v>479</v>
      </c>
      <c r="C237" s="2" t="s">
        <v>480</v>
      </c>
      <c r="E237" s="2" t="s">
        <v>1</v>
      </c>
      <c r="F237" s="2">
        <v>2</v>
      </c>
      <c r="G237" s="2" t="s">
        <v>1</v>
      </c>
      <c r="H237" s="2">
        <v>80</v>
      </c>
      <c r="I237" s="2">
        <v>2.7</v>
      </c>
      <c r="M237" s="2" t="s">
        <v>2</v>
      </c>
      <c r="N237">
        <v>8</v>
      </c>
      <c r="R237">
        <f t="shared" si="13"/>
        <v>216</v>
      </c>
      <c r="S237">
        <v>9</v>
      </c>
    </row>
    <row r="238" spans="1:25" hidden="1" x14ac:dyDescent="0.2">
      <c r="A238">
        <v>6500558</v>
      </c>
      <c r="B238" s="2" t="s">
        <v>481</v>
      </c>
      <c r="C238" s="2" t="s">
        <v>482</v>
      </c>
      <c r="E238" s="2" t="s">
        <v>1</v>
      </c>
      <c r="F238" s="2">
        <v>2</v>
      </c>
      <c r="G238" s="2" t="s">
        <v>1</v>
      </c>
      <c r="H238" s="2">
        <v>80</v>
      </c>
      <c r="I238" s="2">
        <v>2.7</v>
      </c>
      <c r="M238" s="2" t="s">
        <v>2</v>
      </c>
      <c r="N238">
        <v>8</v>
      </c>
      <c r="R238">
        <f t="shared" si="13"/>
        <v>216</v>
      </c>
      <c r="S238">
        <v>9</v>
      </c>
    </row>
    <row r="239" spans="1:25" hidden="1" x14ac:dyDescent="0.2">
      <c r="A239">
        <v>6500559</v>
      </c>
      <c r="B239" s="2" t="s">
        <v>483</v>
      </c>
      <c r="C239" s="2" t="s">
        <v>484</v>
      </c>
      <c r="E239" s="2" t="s">
        <v>1</v>
      </c>
      <c r="F239" s="2">
        <v>2</v>
      </c>
      <c r="G239" s="2" t="s">
        <v>1</v>
      </c>
      <c r="H239" s="2">
        <v>80</v>
      </c>
      <c r="I239" s="2">
        <v>2.7</v>
      </c>
      <c r="M239" s="2" t="s">
        <v>2</v>
      </c>
      <c r="N239">
        <v>8</v>
      </c>
      <c r="R239">
        <f t="shared" si="13"/>
        <v>216</v>
      </c>
      <c r="S239">
        <v>9</v>
      </c>
    </row>
    <row r="240" spans="1:25" x14ac:dyDescent="0.2">
      <c r="A240">
        <v>6580001</v>
      </c>
      <c r="B240" s="2" t="s">
        <v>485</v>
      </c>
      <c r="C240" s="2" t="s">
        <v>486</v>
      </c>
      <c r="E240" s="2" t="s">
        <v>16</v>
      </c>
      <c r="F240" s="2">
        <v>2</v>
      </c>
      <c r="G240" s="2" t="s">
        <v>16</v>
      </c>
      <c r="H240" s="2">
        <v>126</v>
      </c>
      <c r="I240" s="2">
        <v>5</v>
      </c>
      <c r="J240" s="2">
        <v>50</v>
      </c>
      <c r="K240" s="2">
        <v>40</v>
      </c>
      <c r="L240" s="2">
        <v>35</v>
      </c>
      <c r="M240" s="2" t="s">
        <v>2</v>
      </c>
      <c r="N240">
        <v>14</v>
      </c>
      <c r="R240">
        <f t="shared" si="13"/>
        <v>630</v>
      </c>
      <c r="S240">
        <v>9</v>
      </c>
      <c r="U240" t="s">
        <v>3</v>
      </c>
      <c r="V240" t="s">
        <v>3</v>
      </c>
      <c r="W240">
        <f t="shared" ref="W240:W243" si="18">S240</f>
        <v>9</v>
      </c>
      <c r="X240">
        <f t="shared" ref="X240:X243" si="19">R240+30</f>
        <v>660</v>
      </c>
      <c r="Y240" t="s">
        <v>3</v>
      </c>
    </row>
    <row r="241" spans="1:25" x14ac:dyDescent="0.2">
      <c r="A241">
        <v>6580002</v>
      </c>
      <c r="B241" s="2" t="s">
        <v>487</v>
      </c>
      <c r="C241" s="2" t="s">
        <v>488</v>
      </c>
      <c r="E241" s="2" t="s">
        <v>16</v>
      </c>
      <c r="F241" s="2">
        <v>2</v>
      </c>
      <c r="G241" s="2" t="s">
        <v>16</v>
      </c>
      <c r="H241" s="2">
        <v>126</v>
      </c>
      <c r="I241" s="2">
        <v>5</v>
      </c>
      <c r="J241" s="2">
        <v>50</v>
      </c>
      <c r="K241" s="2">
        <v>40</v>
      </c>
      <c r="L241" s="2">
        <v>35</v>
      </c>
      <c r="M241" s="2" t="s">
        <v>2</v>
      </c>
      <c r="N241">
        <v>14</v>
      </c>
      <c r="R241">
        <f t="shared" si="13"/>
        <v>630</v>
      </c>
      <c r="S241">
        <v>9</v>
      </c>
      <c r="U241" t="s">
        <v>3</v>
      </c>
      <c r="V241" t="s">
        <v>3</v>
      </c>
      <c r="W241">
        <f t="shared" si="18"/>
        <v>9</v>
      </c>
      <c r="X241">
        <f t="shared" si="19"/>
        <v>660</v>
      </c>
      <c r="Y241" t="s">
        <v>3</v>
      </c>
    </row>
    <row r="242" spans="1:25" x14ac:dyDescent="0.2">
      <c r="A242">
        <v>6580003</v>
      </c>
      <c r="B242" s="2" t="s">
        <v>489</v>
      </c>
      <c r="C242" s="2" t="s">
        <v>490</v>
      </c>
      <c r="E242" s="2" t="s">
        <v>16</v>
      </c>
      <c r="F242" s="2">
        <v>2</v>
      </c>
      <c r="G242" s="2" t="s">
        <v>16</v>
      </c>
      <c r="H242" s="2">
        <v>60</v>
      </c>
      <c r="I242" s="2">
        <v>5</v>
      </c>
      <c r="J242" s="2">
        <v>50</v>
      </c>
      <c r="K242" s="2">
        <v>40</v>
      </c>
      <c r="L242" s="2">
        <v>35</v>
      </c>
      <c r="M242" s="2" t="s">
        <v>2</v>
      </c>
      <c r="N242">
        <v>10</v>
      </c>
      <c r="R242">
        <f t="shared" si="13"/>
        <v>300</v>
      </c>
      <c r="S242">
        <v>9</v>
      </c>
      <c r="U242" t="s">
        <v>3</v>
      </c>
      <c r="V242" t="s">
        <v>3</v>
      </c>
      <c r="W242">
        <f t="shared" si="18"/>
        <v>9</v>
      </c>
      <c r="X242">
        <f t="shared" si="19"/>
        <v>330</v>
      </c>
      <c r="Y242" t="s">
        <v>3</v>
      </c>
    </row>
    <row r="243" spans="1:25" x14ac:dyDescent="0.2">
      <c r="A243">
        <v>6580005</v>
      </c>
      <c r="B243" s="2" t="s">
        <v>491</v>
      </c>
      <c r="C243" s="2" t="s">
        <v>492</v>
      </c>
      <c r="E243" s="2" t="s">
        <v>16</v>
      </c>
      <c r="F243" s="2">
        <v>2</v>
      </c>
      <c r="G243" s="2" t="s">
        <v>16</v>
      </c>
      <c r="H243" s="2">
        <v>126</v>
      </c>
      <c r="I243" s="2">
        <v>5</v>
      </c>
      <c r="J243" s="2">
        <v>50</v>
      </c>
      <c r="K243" s="2">
        <v>40</v>
      </c>
      <c r="L243" s="2">
        <v>35</v>
      </c>
      <c r="M243" s="2" t="s">
        <v>2</v>
      </c>
      <c r="N243">
        <v>14</v>
      </c>
      <c r="R243">
        <f t="shared" si="13"/>
        <v>630</v>
      </c>
      <c r="S243">
        <v>9</v>
      </c>
      <c r="U243" t="s">
        <v>3</v>
      </c>
      <c r="V243" t="s">
        <v>3</v>
      </c>
      <c r="W243">
        <f t="shared" si="18"/>
        <v>9</v>
      </c>
      <c r="X243">
        <f t="shared" si="19"/>
        <v>660</v>
      </c>
      <c r="Y243" t="s">
        <v>3</v>
      </c>
    </row>
    <row r="244" spans="1:25" hidden="1" x14ac:dyDescent="0.2">
      <c r="A244">
        <v>6580006</v>
      </c>
      <c r="B244" s="2" t="s">
        <v>493</v>
      </c>
      <c r="C244" s="2" t="s">
        <v>494</v>
      </c>
      <c r="E244" s="2" t="s">
        <v>16</v>
      </c>
      <c r="F244" s="2">
        <v>2</v>
      </c>
      <c r="G244" s="2" t="s">
        <v>16</v>
      </c>
      <c r="H244" s="2">
        <v>60</v>
      </c>
      <c r="I244" s="2">
        <v>5</v>
      </c>
      <c r="M244" s="2" t="s">
        <v>2</v>
      </c>
      <c r="N244">
        <v>10</v>
      </c>
      <c r="R244">
        <f t="shared" si="13"/>
        <v>300</v>
      </c>
      <c r="S244">
        <v>9</v>
      </c>
    </row>
    <row r="245" spans="1:25" x14ac:dyDescent="0.2">
      <c r="A245">
        <v>6580007</v>
      </c>
      <c r="B245" s="2" t="s">
        <v>495</v>
      </c>
      <c r="C245" s="2" t="s">
        <v>496</v>
      </c>
      <c r="E245" s="2" t="s">
        <v>16</v>
      </c>
      <c r="F245" s="2">
        <v>2</v>
      </c>
      <c r="G245" s="2" t="s">
        <v>16</v>
      </c>
      <c r="H245" s="2">
        <v>189</v>
      </c>
      <c r="I245" s="2">
        <v>3</v>
      </c>
      <c r="J245" s="2">
        <v>50</v>
      </c>
      <c r="K245" s="2">
        <v>40</v>
      </c>
      <c r="L245" s="2">
        <v>35</v>
      </c>
      <c r="M245" s="2" t="s">
        <v>2</v>
      </c>
      <c r="N245">
        <v>21</v>
      </c>
      <c r="R245">
        <f t="shared" si="13"/>
        <v>567</v>
      </c>
      <c r="S245">
        <v>9</v>
      </c>
      <c r="U245" t="s">
        <v>3</v>
      </c>
      <c r="V245" t="s">
        <v>3</v>
      </c>
      <c r="W245">
        <f t="shared" ref="W245:W260" si="20">S245</f>
        <v>9</v>
      </c>
      <c r="X245">
        <f t="shared" ref="X245:X260" si="21">R245+30</f>
        <v>597</v>
      </c>
      <c r="Y245" t="s">
        <v>3</v>
      </c>
    </row>
    <row r="246" spans="1:25" x14ac:dyDescent="0.2">
      <c r="A246">
        <v>6580008</v>
      </c>
      <c r="B246" s="2" t="s">
        <v>497</v>
      </c>
      <c r="C246" s="2" t="s">
        <v>498</v>
      </c>
      <c r="E246" s="2" t="s">
        <v>16</v>
      </c>
      <c r="F246" s="2">
        <v>2</v>
      </c>
      <c r="G246" s="2" t="s">
        <v>16</v>
      </c>
      <c r="H246" s="2">
        <v>60</v>
      </c>
      <c r="I246" s="2">
        <v>5</v>
      </c>
      <c r="J246" s="2">
        <v>50</v>
      </c>
      <c r="K246" s="2">
        <v>40</v>
      </c>
      <c r="L246" s="2">
        <v>35</v>
      </c>
      <c r="M246" s="2" t="s">
        <v>2</v>
      </c>
      <c r="N246">
        <v>10</v>
      </c>
      <c r="R246">
        <f t="shared" si="13"/>
        <v>300</v>
      </c>
      <c r="S246">
        <v>9</v>
      </c>
      <c r="U246" t="s">
        <v>3</v>
      </c>
      <c r="V246" t="s">
        <v>3</v>
      </c>
      <c r="W246">
        <f t="shared" si="20"/>
        <v>9</v>
      </c>
      <c r="X246">
        <f t="shared" si="21"/>
        <v>330</v>
      </c>
      <c r="Y246" t="s">
        <v>3</v>
      </c>
    </row>
    <row r="247" spans="1:25" x14ac:dyDescent="0.2">
      <c r="A247">
        <v>6580100</v>
      </c>
      <c r="B247" s="2" t="s">
        <v>499</v>
      </c>
      <c r="C247" s="2" t="s">
        <v>500</v>
      </c>
      <c r="E247" s="2" t="s">
        <v>16</v>
      </c>
      <c r="F247" s="2">
        <v>2</v>
      </c>
      <c r="G247" s="2" t="s">
        <v>16</v>
      </c>
      <c r="H247" s="2">
        <v>54</v>
      </c>
      <c r="I247" s="2">
        <v>5</v>
      </c>
      <c r="J247" s="2">
        <v>50</v>
      </c>
      <c r="K247" s="2">
        <v>40</v>
      </c>
      <c r="L247" s="2">
        <v>35</v>
      </c>
      <c r="M247" s="2" t="s">
        <v>2</v>
      </c>
      <c r="N247">
        <v>9</v>
      </c>
      <c r="R247">
        <f t="shared" si="13"/>
        <v>270</v>
      </c>
      <c r="S247">
        <v>9</v>
      </c>
      <c r="U247" t="s">
        <v>3</v>
      </c>
      <c r="V247" t="s">
        <v>3</v>
      </c>
      <c r="W247">
        <f t="shared" si="20"/>
        <v>9</v>
      </c>
      <c r="X247">
        <f t="shared" si="21"/>
        <v>300</v>
      </c>
      <c r="Y247" t="s">
        <v>3</v>
      </c>
    </row>
    <row r="248" spans="1:25" x14ac:dyDescent="0.2">
      <c r="A248">
        <v>6580102</v>
      </c>
      <c r="B248" s="2" t="s">
        <v>501</v>
      </c>
      <c r="C248" s="2" t="s">
        <v>502</v>
      </c>
      <c r="E248" s="2" t="s">
        <v>16</v>
      </c>
      <c r="F248" s="2">
        <v>2</v>
      </c>
      <c r="G248" s="2" t="s">
        <v>16</v>
      </c>
      <c r="H248" s="2">
        <v>54</v>
      </c>
      <c r="I248" s="2">
        <v>6</v>
      </c>
      <c r="J248" s="2">
        <v>50</v>
      </c>
      <c r="K248" s="2">
        <v>40</v>
      </c>
      <c r="L248" s="2">
        <v>35</v>
      </c>
      <c r="M248" s="2" t="s">
        <v>2</v>
      </c>
      <c r="N248">
        <v>9</v>
      </c>
      <c r="R248">
        <f t="shared" si="13"/>
        <v>324</v>
      </c>
      <c r="S248">
        <v>9</v>
      </c>
      <c r="U248" t="s">
        <v>3</v>
      </c>
      <c r="V248" t="s">
        <v>3</v>
      </c>
      <c r="W248">
        <f t="shared" si="20"/>
        <v>9</v>
      </c>
      <c r="X248">
        <f t="shared" si="21"/>
        <v>354</v>
      </c>
      <c r="Y248" t="s">
        <v>3</v>
      </c>
    </row>
    <row r="249" spans="1:25" x14ac:dyDescent="0.2">
      <c r="A249">
        <v>6580103</v>
      </c>
      <c r="B249" s="2" t="s">
        <v>503</v>
      </c>
      <c r="C249" s="2" t="s">
        <v>504</v>
      </c>
      <c r="E249" s="2" t="s">
        <v>16</v>
      </c>
      <c r="F249" s="2">
        <v>2</v>
      </c>
      <c r="G249" s="2" t="s">
        <v>16</v>
      </c>
      <c r="H249" s="2">
        <v>54</v>
      </c>
      <c r="I249" s="2">
        <v>6</v>
      </c>
      <c r="J249" s="2">
        <v>50</v>
      </c>
      <c r="K249" s="2">
        <v>40</v>
      </c>
      <c r="L249" s="2">
        <v>35</v>
      </c>
      <c r="M249" s="2" t="s">
        <v>2</v>
      </c>
      <c r="N249">
        <v>9</v>
      </c>
      <c r="R249">
        <f t="shared" si="13"/>
        <v>324</v>
      </c>
      <c r="S249">
        <v>9</v>
      </c>
      <c r="U249" t="s">
        <v>3</v>
      </c>
      <c r="V249" t="s">
        <v>3</v>
      </c>
      <c r="W249">
        <f t="shared" si="20"/>
        <v>9</v>
      </c>
      <c r="X249">
        <f t="shared" si="21"/>
        <v>354</v>
      </c>
      <c r="Y249" t="s">
        <v>3</v>
      </c>
    </row>
    <row r="250" spans="1:25" x14ac:dyDescent="0.2">
      <c r="A250">
        <v>6580201</v>
      </c>
      <c r="B250" s="2" t="s">
        <v>505</v>
      </c>
      <c r="C250" s="2" t="s">
        <v>506</v>
      </c>
      <c r="E250" s="2" t="s">
        <v>16</v>
      </c>
      <c r="F250" s="2">
        <v>2</v>
      </c>
      <c r="G250" s="2" t="s">
        <v>16</v>
      </c>
      <c r="H250" s="2">
        <v>72</v>
      </c>
      <c r="I250" s="2">
        <v>6</v>
      </c>
      <c r="J250" s="2">
        <v>50</v>
      </c>
      <c r="K250" s="2">
        <v>40</v>
      </c>
      <c r="L250" s="2">
        <v>35</v>
      </c>
      <c r="M250" s="2" t="s">
        <v>2</v>
      </c>
      <c r="N250">
        <v>12</v>
      </c>
      <c r="R250">
        <f t="shared" si="13"/>
        <v>432</v>
      </c>
      <c r="S250">
        <v>9</v>
      </c>
      <c r="U250" t="s">
        <v>3</v>
      </c>
      <c r="V250" t="s">
        <v>3</v>
      </c>
      <c r="W250">
        <f t="shared" si="20"/>
        <v>9</v>
      </c>
      <c r="X250">
        <f t="shared" si="21"/>
        <v>462</v>
      </c>
      <c r="Y250" t="s">
        <v>3</v>
      </c>
    </row>
    <row r="251" spans="1:25" x14ac:dyDescent="0.2">
      <c r="A251">
        <v>6580202</v>
      </c>
      <c r="B251" s="2" t="s">
        <v>507</v>
      </c>
      <c r="C251" s="2" t="s">
        <v>508</v>
      </c>
      <c r="E251" s="2" t="s">
        <v>16</v>
      </c>
      <c r="F251" s="2">
        <v>2</v>
      </c>
      <c r="G251" s="2" t="s">
        <v>16</v>
      </c>
      <c r="H251" s="2">
        <v>72</v>
      </c>
      <c r="I251" s="2">
        <v>6</v>
      </c>
      <c r="J251" s="2">
        <v>50</v>
      </c>
      <c r="K251" s="2">
        <v>40</v>
      </c>
      <c r="L251" s="2">
        <v>35</v>
      </c>
      <c r="M251" s="2" t="s">
        <v>2</v>
      </c>
      <c r="N251">
        <v>12</v>
      </c>
      <c r="R251">
        <f t="shared" si="13"/>
        <v>432</v>
      </c>
      <c r="S251">
        <v>9</v>
      </c>
      <c r="U251" t="s">
        <v>3</v>
      </c>
      <c r="V251" t="s">
        <v>3</v>
      </c>
      <c r="W251">
        <f t="shared" si="20"/>
        <v>9</v>
      </c>
      <c r="X251">
        <f t="shared" si="21"/>
        <v>462</v>
      </c>
      <c r="Y251" t="s">
        <v>3</v>
      </c>
    </row>
    <row r="252" spans="1:25" x14ac:dyDescent="0.2">
      <c r="A252">
        <v>6580203</v>
      </c>
      <c r="B252" s="2" t="s">
        <v>509</v>
      </c>
      <c r="C252" s="2" t="s">
        <v>510</v>
      </c>
      <c r="E252" s="2" t="s">
        <v>16</v>
      </c>
      <c r="F252" s="2">
        <v>2</v>
      </c>
      <c r="G252" s="2" t="s">
        <v>16</v>
      </c>
      <c r="H252" s="2">
        <v>72</v>
      </c>
      <c r="I252" s="2">
        <v>6</v>
      </c>
      <c r="J252" s="2">
        <v>50</v>
      </c>
      <c r="K252" s="2">
        <v>40</v>
      </c>
      <c r="L252" s="2">
        <v>35</v>
      </c>
      <c r="M252" s="2" t="s">
        <v>2</v>
      </c>
      <c r="N252">
        <v>12</v>
      </c>
      <c r="R252">
        <f t="shared" si="13"/>
        <v>432</v>
      </c>
      <c r="S252">
        <v>9</v>
      </c>
      <c r="U252" t="s">
        <v>3</v>
      </c>
      <c r="V252" t="s">
        <v>3</v>
      </c>
      <c r="W252">
        <f t="shared" si="20"/>
        <v>9</v>
      </c>
      <c r="X252">
        <f t="shared" si="21"/>
        <v>462</v>
      </c>
      <c r="Y252" t="s">
        <v>3</v>
      </c>
    </row>
    <row r="253" spans="1:25" x14ac:dyDescent="0.2">
      <c r="A253">
        <v>6595017</v>
      </c>
      <c r="B253" s="2" t="s">
        <v>511</v>
      </c>
      <c r="C253" s="2" t="s">
        <v>512</v>
      </c>
      <c r="E253" s="2" t="s">
        <v>16</v>
      </c>
      <c r="F253" s="2">
        <v>2</v>
      </c>
      <c r="G253" s="2" t="s">
        <v>16</v>
      </c>
      <c r="H253" s="2">
        <v>63</v>
      </c>
      <c r="I253" s="2">
        <v>3.7</v>
      </c>
      <c r="J253" s="2">
        <v>50</v>
      </c>
      <c r="K253" s="2">
        <v>40</v>
      </c>
      <c r="L253" s="2">
        <v>35</v>
      </c>
      <c r="M253" s="2" t="s">
        <v>2</v>
      </c>
      <c r="N253">
        <v>9</v>
      </c>
      <c r="R253">
        <f t="shared" si="13"/>
        <v>233.10000000000002</v>
      </c>
      <c r="S253">
        <v>9</v>
      </c>
      <c r="U253" t="s">
        <v>3</v>
      </c>
      <c r="V253" t="s">
        <v>3</v>
      </c>
      <c r="W253">
        <f t="shared" si="20"/>
        <v>9</v>
      </c>
      <c r="X253">
        <f t="shared" si="21"/>
        <v>263.10000000000002</v>
      </c>
      <c r="Y253" t="s">
        <v>3</v>
      </c>
    </row>
    <row r="254" spans="1:25" x14ac:dyDescent="0.2">
      <c r="A254">
        <v>6595018</v>
      </c>
      <c r="B254" s="2" t="s">
        <v>513</v>
      </c>
      <c r="C254" s="2" t="s">
        <v>514</v>
      </c>
      <c r="E254" s="2" t="s">
        <v>16</v>
      </c>
      <c r="F254" s="2">
        <v>2</v>
      </c>
      <c r="G254" s="2" t="s">
        <v>16</v>
      </c>
      <c r="H254" s="2">
        <v>63</v>
      </c>
      <c r="I254" s="2">
        <v>3.7</v>
      </c>
      <c r="J254" s="2">
        <v>50</v>
      </c>
      <c r="K254" s="2">
        <v>40</v>
      </c>
      <c r="L254" s="2">
        <v>35</v>
      </c>
      <c r="M254" s="2" t="s">
        <v>2</v>
      </c>
      <c r="N254">
        <v>9</v>
      </c>
      <c r="R254">
        <f t="shared" si="13"/>
        <v>233.10000000000002</v>
      </c>
      <c r="S254">
        <v>9</v>
      </c>
      <c r="U254" t="s">
        <v>3</v>
      </c>
      <c r="V254" t="s">
        <v>3</v>
      </c>
      <c r="W254">
        <f t="shared" si="20"/>
        <v>9</v>
      </c>
      <c r="X254">
        <f t="shared" si="21"/>
        <v>263.10000000000002</v>
      </c>
      <c r="Y254" t="s">
        <v>3</v>
      </c>
    </row>
    <row r="255" spans="1:25" x14ac:dyDescent="0.2">
      <c r="A255">
        <v>6595021</v>
      </c>
      <c r="B255" s="2" t="s">
        <v>515</v>
      </c>
      <c r="C255" s="2" t="s">
        <v>516</v>
      </c>
      <c r="E255" s="2" t="s">
        <v>16</v>
      </c>
      <c r="F255" s="2">
        <v>2</v>
      </c>
      <c r="G255" s="2" t="s">
        <v>16</v>
      </c>
      <c r="H255" s="2">
        <v>24</v>
      </c>
      <c r="I255" s="2">
        <v>6.4</v>
      </c>
      <c r="J255" s="2">
        <v>50</v>
      </c>
      <c r="K255" s="2">
        <v>40</v>
      </c>
      <c r="L255" s="2">
        <v>35</v>
      </c>
      <c r="M255" s="2" t="s">
        <v>2</v>
      </c>
      <c r="N255">
        <v>6</v>
      </c>
      <c r="R255">
        <f t="shared" si="13"/>
        <v>153.60000000000002</v>
      </c>
      <c r="S255">
        <v>9</v>
      </c>
      <c r="U255" t="s">
        <v>3</v>
      </c>
      <c r="V255" t="s">
        <v>3</v>
      </c>
      <c r="W255">
        <f t="shared" si="20"/>
        <v>9</v>
      </c>
      <c r="X255">
        <f t="shared" si="21"/>
        <v>183.60000000000002</v>
      </c>
      <c r="Y255" t="s">
        <v>3</v>
      </c>
    </row>
    <row r="256" spans="1:25" x14ac:dyDescent="0.2">
      <c r="A256">
        <v>6595022</v>
      </c>
      <c r="B256" s="2" t="s">
        <v>517</v>
      </c>
      <c r="C256" s="2" t="s">
        <v>518</v>
      </c>
      <c r="E256" s="2" t="s">
        <v>16</v>
      </c>
      <c r="F256" s="2">
        <v>2</v>
      </c>
      <c r="G256" s="2" t="s">
        <v>16</v>
      </c>
      <c r="H256" s="2">
        <v>24</v>
      </c>
      <c r="I256" s="2">
        <v>6.4</v>
      </c>
      <c r="J256" s="2">
        <v>50</v>
      </c>
      <c r="K256" s="2">
        <v>50</v>
      </c>
      <c r="L256" s="2">
        <v>35</v>
      </c>
      <c r="M256" s="2" t="s">
        <v>2</v>
      </c>
      <c r="N256">
        <v>6</v>
      </c>
      <c r="R256">
        <f t="shared" si="13"/>
        <v>153.60000000000002</v>
      </c>
      <c r="S256">
        <v>9</v>
      </c>
      <c r="U256" t="s">
        <v>3</v>
      </c>
      <c r="V256" t="s">
        <v>3</v>
      </c>
      <c r="W256">
        <f t="shared" si="20"/>
        <v>9</v>
      </c>
      <c r="X256">
        <f t="shared" si="21"/>
        <v>183.60000000000002</v>
      </c>
      <c r="Y256" t="s">
        <v>3</v>
      </c>
    </row>
    <row r="257" spans="1:25" x14ac:dyDescent="0.2">
      <c r="A257">
        <v>6595023</v>
      </c>
      <c r="B257" s="2" t="s">
        <v>519</v>
      </c>
      <c r="C257" s="2" t="s">
        <v>520</v>
      </c>
      <c r="E257" s="2" t="s">
        <v>16</v>
      </c>
      <c r="F257" s="2">
        <v>2</v>
      </c>
      <c r="G257" s="2" t="s">
        <v>16</v>
      </c>
      <c r="H257" s="2">
        <v>24</v>
      </c>
      <c r="I257" s="2">
        <v>6.4</v>
      </c>
      <c r="J257" s="2">
        <v>50</v>
      </c>
      <c r="K257" s="2">
        <v>50</v>
      </c>
      <c r="L257" s="2">
        <v>35</v>
      </c>
      <c r="M257" s="2" t="s">
        <v>2</v>
      </c>
      <c r="N257">
        <v>6</v>
      </c>
      <c r="R257">
        <f t="shared" si="13"/>
        <v>153.60000000000002</v>
      </c>
      <c r="S257">
        <v>9</v>
      </c>
      <c r="U257" t="s">
        <v>3</v>
      </c>
      <c r="V257" t="s">
        <v>3</v>
      </c>
      <c r="W257">
        <f t="shared" si="20"/>
        <v>9</v>
      </c>
      <c r="X257">
        <f t="shared" si="21"/>
        <v>183.60000000000002</v>
      </c>
      <c r="Y257" t="s">
        <v>3</v>
      </c>
    </row>
    <row r="258" spans="1:25" x14ac:dyDescent="0.2">
      <c r="A258">
        <v>6595051</v>
      </c>
      <c r="B258" s="2" t="s">
        <v>521</v>
      </c>
      <c r="C258" s="2" t="s">
        <v>522</v>
      </c>
      <c r="E258" s="2" t="s">
        <v>16</v>
      </c>
      <c r="F258" s="2">
        <v>2</v>
      </c>
      <c r="G258" s="2" t="s">
        <v>16</v>
      </c>
      <c r="H258" s="2">
        <v>60</v>
      </c>
      <c r="I258" s="2">
        <v>2.5</v>
      </c>
      <c r="J258" s="2">
        <v>50</v>
      </c>
      <c r="K258" s="2">
        <v>50</v>
      </c>
      <c r="L258" s="2">
        <v>35</v>
      </c>
      <c r="M258" s="2" t="s">
        <v>2</v>
      </c>
      <c r="N258">
        <v>12</v>
      </c>
      <c r="R258">
        <f t="shared" si="13"/>
        <v>150</v>
      </c>
      <c r="S258">
        <v>9</v>
      </c>
      <c r="U258" t="s">
        <v>3</v>
      </c>
      <c r="V258" t="s">
        <v>3</v>
      </c>
      <c r="W258">
        <f t="shared" si="20"/>
        <v>9</v>
      </c>
      <c r="X258">
        <f t="shared" si="21"/>
        <v>180</v>
      </c>
      <c r="Y258" t="s">
        <v>3</v>
      </c>
    </row>
    <row r="259" spans="1:25" x14ac:dyDescent="0.2">
      <c r="A259">
        <v>6595052</v>
      </c>
      <c r="B259" s="2" t="s">
        <v>523</v>
      </c>
      <c r="C259" s="2" t="s">
        <v>524</v>
      </c>
      <c r="E259" s="2" t="s">
        <v>16</v>
      </c>
      <c r="F259" s="2">
        <v>2</v>
      </c>
      <c r="G259" s="2" t="s">
        <v>16</v>
      </c>
      <c r="H259" s="2">
        <v>60</v>
      </c>
      <c r="I259" s="2">
        <v>2.5</v>
      </c>
      <c r="J259" s="2">
        <v>50</v>
      </c>
      <c r="K259" s="2">
        <v>50</v>
      </c>
      <c r="L259" s="2">
        <v>35</v>
      </c>
      <c r="M259" s="2" t="s">
        <v>2</v>
      </c>
      <c r="N259">
        <v>12</v>
      </c>
      <c r="R259">
        <f t="shared" ref="R259:R322" si="22">H259*I259</f>
        <v>150</v>
      </c>
      <c r="S259">
        <v>9</v>
      </c>
      <c r="U259" t="s">
        <v>3</v>
      </c>
      <c r="V259" t="s">
        <v>3</v>
      </c>
      <c r="W259">
        <f t="shared" si="20"/>
        <v>9</v>
      </c>
      <c r="X259">
        <f t="shared" si="21"/>
        <v>180</v>
      </c>
      <c r="Y259" t="s">
        <v>3</v>
      </c>
    </row>
    <row r="260" spans="1:25" x14ac:dyDescent="0.2">
      <c r="A260">
        <v>6595053</v>
      </c>
      <c r="B260" s="2" t="s">
        <v>525</v>
      </c>
      <c r="C260" s="2" t="s">
        <v>526</v>
      </c>
      <c r="E260" s="2" t="s">
        <v>16</v>
      </c>
      <c r="F260" s="2">
        <v>2</v>
      </c>
      <c r="G260" s="2" t="s">
        <v>16</v>
      </c>
      <c r="H260" s="2">
        <v>60</v>
      </c>
      <c r="I260" s="2">
        <v>2.5</v>
      </c>
      <c r="J260" s="2">
        <v>50</v>
      </c>
      <c r="K260" s="2">
        <v>50</v>
      </c>
      <c r="L260" s="2">
        <v>35</v>
      </c>
      <c r="M260" s="2" t="s">
        <v>2</v>
      </c>
      <c r="N260">
        <v>12</v>
      </c>
      <c r="R260">
        <f t="shared" si="22"/>
        <v>150</v>
      </c>
      <c r="S260">
        <v>9</v>
      </c>
      <c r="U260" t="s">
        <v>3</v>
      </c>
      <c r="V260" t="s">
        <v>3</v>
      </c>
      <c r="W260">
        <f t="shared" si="20"/>
        <v>9</v>
      </c>
      <c r="X260">
        <f t="shared" si="21"/>
        <v>180</v>
      </c>
      <c r="Y260" t="s">
        <v>3</v>
      </c>
    </row>
    <row r="261" spans="1:25" hidden="1" x14ac:dyDescent="0.2">
      <c r="A261">
        <v>6813011</v>
      </c>
      <c r="B261" s="2" t="s">
        <v>527</v>
      </c>
      <c r="C261" s="2" t="s">
        <v>528</v>
      </c>
      <c r="E261" s="2" t="s">
        <v>16</v>
      </c>
      <c r="F261" s="2">
        <v>2</v>
      </c>
      <c r="G261" s="2" t="s">
        <v>16</v>
      </c>
      <c r="H261" s="2">
        <v>261</v>
      </c>
      <c r="I261" s="2">
        <v>2.16</v>
      </c>
      <c r="M261" s="2" t="s">
        <v>2</v>
      </c>
      <c r="N261">
        <v>29</v>
      </c>
      <c r="R261">
        <f t="shared" si="22"/>
        <v>563.76</v>
      </c>
      <c r="S261">
        <v>9</v>
      </c>
    </row>
    <row r="262" spans="1:25" x14ac:dyDescent="0.2">
      <c r="A262">
        <v>6813012</v>
      </c>
      <c r="B262" s="2" t="s">
        <v>529</v>
      </c>
      <c r="C262" s="2" t="s">
        <v>530</v>
      </c>
      <c r="E262" s="2" t="s">
        <v>16</v>
      </c>
      <c r="F262" s="2">
        <v>2</v>
      </c>
      <c r="G262" s="2" t="s">
        <v>16</v>
      </c>
      <c r="H262" s="2">
        <v>261</v>
      </c>
      <c r="I262" s="2">
        <v>2.16</v>
      </c>
      <c r="J262" s="2">
        <v>50</v>
      </c>
      <c r="K262" s="2">
        <v>50</v>
      </c>
      <c r="L262" s="2">
        <v>35</v>
      </c>
      <c r="M262" s="2" t="s">
        <v>2</v>
      </c>
      <c r="N262">
        <v>29</v>
      </c>
      <c r="R262">
        <f t="shared" si="22"/>
        <v>563.76</v>
      </c>
      <c r="S262">
        <v>9</v>
      </c>
      <c r="U262" t="s">
        <v>3</v>
      </c>
      <c r="V262" t="s">
        <v>3</v>
      </c>
      <c r="W262">
        <f t="shared" ref="W262:W264" si="23">S262</f>
        <v>9</v>
      </c>
      <c r="X262">
        <f t="shared" ref="X262:X264" si="24">R262+30</f>
        <v>593.76</v>
      </c>
      <c r="Y262" t="s">
        <v>3</v>
      </c>
    </row>
    <row r="263" spans="1:25" x14ac:dyDescent="0.2">
      <c r="A263">
        <v>6813013</v>
      </c>
      <c r="B263" s="2" t="s">
        <v>531</v>
      </c>
      <c r="C263" s="2" t="s">
        <v>532</v>
      </c>
      <c r="E263" s="2" t="s">
        <v>16</v>
      </c>
      <c r="F263" s="2">
        <v>2</v>
      </c>
      <c r="G263" s="2" t="s">
        <v>16</v>
      </c>
      <c r="H263" s="2">
        <v>261</v>
      </c>
      <c r="I263" s="2">
        <v>2.16</v>
      </c>
      <c r="J263" s="2">
        <v>50</v>
      </c>
      <c r="K263" s="2">
        <v>50</v>
      </c>
      <c r="L263" s="2">
        <v>35</v>
      </c>
      <c r="M263" s="2" t="s">
        <v>2</v>
      </c>
      <c r="N263">
        <v>29</v>
      </c>
      <c r="R263">
        <f t="shared" si="22"/>
        <v>563.76</v>
      </c>
      <c r="S263">
        <v>9</v>
      </c>
      <c r="U263" t="s">
        <v>3</v>
      </c>
      <c r="V263" t="s">
        <v>3</v>
      </c>
      <c r="W263">
        <f t="shared" si="23"/>
        <v>9</v>
      </c>
      <c r="X263">
        <f t="shared" si="24"/>
        <v>593.76</v>
      </c>
      <c r="Y263" t="s">
        <v>3</v>
      </c>
    </row>
    <row r="264" spans="1:25" x14ac:dyDescent="0.2">
      <c r="A264">
        <v>6813014</v>
      </c>
      <c r="B264" s="2" t="s">
        <v>533</v>
      </c>
      <c r="C264" s="2" t="s">
        <v>534</v>
      </c>
      <c r="E264" s="2" t="s">
        <v>16</v>
      </c>
      <c r="F264" s="2">
        <v>2</v>
      </c>
      <c r="G264" s="2" t="s">
        <v>16</v>
      </c>
      <c r="H264" s="2">
        <v>200</v>
      </c>
      <c r="I264" s="2">
        <v>2.16</v>
      </c>
      <c r="J264" s="2">
        <v>50</v>
      </c>
      <c r="K264" s="2">
        <v>50</v>
      </c>
      <c r="L264" s="2">
        <v>35</v>
      </c>
      <c r="M264" s="2" t="s">
        <v>2</v>
      </c>
      <c r="N264">
        <v>25</v>
      </c>
      <c r="R264">
        <f t="shared" si="22"/>
        <v>432</v>
      </c>
      <c r="S264">
        <v>9</v>
      </c>
      <c r="U264" t="s">
        <v>3</v>
      </c>
      <c r="V264" t="s">
        <v>3</v>
      </c>
      <c r="W264">
        <f t="shared" si="23"/>
        <v>9</v>
      </c>
      <c r="X264">
        <f t="shared" si="24"/>
        <v>462</v>
      </c>
      <c r="Y264" t="s">
        <v>3</v>
      </c>
    </row>
    <row r="265" spans="1:25" hidden="1" x14ac:dyDescent="0.2">
      <c r="A265">
        <v>6813111</v>
      </c>
      <c r="B265" s="2" t="s">
        <v>535</v>
      </c>
      <c r="C265" s="2" t="s">
        <v>536</v>
      </c>
      <c r="E265" s="2" t="s">
        <v>16</v>
      </c>
      <c r="F265" s="2">
        <v>2</v>
      </c>
      <c r="G265" s="2" t="s">
        <v>16</v>
      </c>
      <c r="H265" s="2">
        <v>180</v>
      </c>
      <c r="I265" s="2">
        <v>2.4</v>
      </c>
      <c r="M265" s="2" t="s">
        <v>2</v>
      </c>
      <c r="N265">
        <v>15</v>
      </c>
      <c r="R265">
        <f t="shared" si="22"/>
        <v>432</v>
      </c>
      <c r="S265">
        <v>9</v>
      </c>
    </row>
    <row r="266" spans="1:25" hidden="1" x14ac:dyDescent="0.2">
      <c r="A266">
        <v>6813113</v>
      </c>
      <c r="B266" s="2" t="s">
        <v>537</v>
      </c>
      <c r="C266" s="2" t="s">
        <v>538</v>
      </c>
      <c r="E266" s="2" t="s">
        <v>16</v>
      </c>
      <c r="F266" s="2">
        <v>2</v>
      </c>
      <c r="G266" s="2" t="s">
        <v>16</v>
      </c>
      <c r="H266" s="2">
        <v>180</v>
      </c>
      <c r="I266" s="2">
        <v>2.4</v>
      </c>
      <c r="M266" s="2" t="s">
        <v>2</v>
      </c>
      <c r="N266">
        <v>15</v>
      </c>
      <c r="R266">
        <f t="shared" si="22"/>
        <v>432</v>
      </c>
      <c r="S266">
        <v>9</v>
      </c>
    </row>
    <row r="267" spans="1:25" hidden="1" x14ac:dyDescent="0.2">
      <c r="A267">
        <v>6901001</v>
      </c>
      <c r="B267" s="2" t="s">
        <v>539</v>
      </c>
      <c r="C267" s="2" t="s">
        <v>540</v>
      </c>
      <c r="E267" s="2" t="s">
        <v>16</v>
      </c>
      <c r="F267" s="2">
        <v>2</v>
      </c>
      <c r="G267" s="2" t="s">
        <v>16</v>
      </c>
      <c r="H267" s="2">
        <v>96</v>
      </c>
      <c r="I267" s="2">
        <v>3.4</v>
      </c>
      <c r="M267" s="2" t="s">
        <v>2</v>
      </c>
      <c r="N267">
        <v>12</v>
      </c>
      <c r="R267">
        <f t="shared" si="22"/>
        <v>326.39999999999998</v>
      </c>
      <c r="S267">
        <v>9</v>
      </c>
    </row>
    <row r="268" spans="1:25" hidden="1" x14ac:dyDescent="0.2">
      <c r="A268">
        <v>6901002</v>
      </c>
      <c r="B268" s="2" t="s">
        <v>541</v>
      </c>
      <c r="C268" s="2" t="s">
        <v>542</v>
      </c>
      <c r="E268" s="2" t="s">
        <v>16</v>
      </c>
      <c r="F268" s="2">
        <v>2</v>
      </c>
      <c r="G268" s="2" t="s">
        <v>16</v>
      </c>
      <c r="H268" s="2">
        <v>96</v>
      </c>
      <c r="I268" s="2">
        <v>3.4</v>
      </c>
      <c r="M268" s="2" t="s">
        <v>2</v>
      </c>
      <c r="N268">
        <v>12</v>
      </c>
      <c r="R268">
        <f t="shared" si="22"/>
        <v>326.39999999999998</v>
      </c>
      <c r="S268">
        <v>9</v>
      </c>
    </row>
    <row r="269" spans="1:25" hidden="1" x14ac:dyDescent="0.2">
      <c r="A269">
        <v>6901004</v>
      </c>
      <c r="B269" s="2" t="s">
        <v>543</v>
      </c>
      <c r="C269" s="2" t="s">
        <v>544</v>
      </c>
      <c r="E269" s="2" t="s">
        <v>16</v>
      </c>
      <c r="F269" s="2">
        <v>2</v>
      </c>
      <c r="G269" s="2" t="s">
        <v>16</v>
      </c>
      <c r="H269" s="2">
        <v>96</v>
      </c>
      <c r="I269" s="2">
        <v>3.4</v>
      </c>
      <c r="M269" s="2" t="s">
        <v>2</v>
      </c>
      <c r="N269">
        <v>12</v>
      </c>
      <c r="R269">
        <f t="shared" si="22"/>
        <v>326.39999999999998</v>
      </c>
      <c r="S269">
        <v>9</v>
      </c>
    </row>
    <row r="270" spans="1:25" hidden="1" x14ac:dyDescent="0.2">
      <c r="A270">
        <v>6901005</v>
      </c>
      <c r="B270" s="2" t="s">
        <v>545</v>
      </c>
      <c r="C270" s="2" t="s">
        <v>546</v>
      </c>
      <c r="E270" s="2" t="s">
        <v>16</v>
      </c>
      <c r="F270" s="2">
        <v>2</v>
      </c>
      <c r="G270" s="2" t="s">
        <v>16</v>
      </c>
      <c r="H270" s="2">
        <v>90</v>
      </c>
      <c r="I270" s="2">
        <v>3.4</v>
      </c>
      <c r="M270" s="2" t="s">
        <v>2</v>
      </c>
      <c r="N270">
        <v>12</v>
      </c>
      <c r="R270">
        <f t="shared" si="22"/>
        <v>306</v>
      </c>
      <c r="S270">
        <v>9</v>
      </c>
    </row>
    <row r="271" spans="1:25" hidden="1" x14ac:dyDescent="0.2">
      <c r="A271">
        <v>6901014</v>
      </c>
      <c r="B271" s="2" t="s">
        <v>547</v>
      </c>
      <c r="C271" s="2" t="s">
        <v>548</v>
      </c>
      <c r="E271" s="2" t="s">
        <v>16</v>
      </c>
      <c r="F271" s="2">
        <v>2</v>
      </c>
      <c r="G271" s="2" t="s">
        <v>16</v>
      </c>
      <c r="H271" s="2">
        <v>96</v>
      </c>
      <c r="I271" s="2">
        <v>3.456</v>
      </c>
      <c r="M271" s="2" t="s">
        <v>2</v>
      </c>
      <c r="N271">
        <v>12</v>
      </c>
      <c r="R271">
        <f t="shared" si="22"/>
        <v>331.77600000000001</v>
      </c>
      <c r="S271">
        <v>9</v>
      </c>
    </row>
    <row r="272" spans="1:25" hidden="1" x14ac:dyDescent="0.2">
      <c r="A272">
        <v>6901017</v>
      </c>
      <c r="B272" s="2" t="s">
        <v>549</v>
      </c>
      <c r="C272" s="2" t="s">
        <v>550</v>
      </c>
      <c r="E272" s="2" t="s">
        <v>16</v>
      </c>
      <c r="F272" s="2">
        <v>2</v>
      </c>
      <c r="G272" s="2" t="s">
        <v>16</v>
      </c>
      <c r="H272" s="2">
        <v>96</v>
      </c>
      <c r="I272" s="2">
        <v>3.456</v>
      </c>
      <c r="M272" s="2" t="s">
        <v>2</v>
      </c>
      <c r="N272">
        <v>12</v>
      </c>
      <c r="R272">
        <f t="shared" si="22"/>
        <v>331.77600000000001</v>
      </c>
      <c r="S272">
        <v>9</v>
      </c>
    </row>
    <row r="273" spans="1:25" hidden="1" x14ac:dyDescent="0.2">
      <c r="A273">
        <v>6901018</v>
      </c>
      <c r="B273" s="2" t="s">
        <v>551</v>
      </c>
      <c r="C273" s="2" t="s">
        <v>552</v>
      </c>
      <c r="E273" s="2" t="s">
        <v>16</v>
      </c>
      <c r="F273" s="2">
        <v>2</v>
      </c>
      <c r="G273" s="2" t="s">
        <v>16</v>
      </c>
      <c r="H273" s="2">
        <v>96</v>
      </c>
      <c r="I273" s="2">
        <v>3.456</v>
      </c>
      <c r="M273" s="2" t="s">
        <v>2</v>
      </c>
      <c r="N273">
        <v>12</v>
      </c>
      <c r="R273">
        <f t="shared" si="22"/>
        <v>331.77600000000001</v>
      </c>
      <c r="S273">
        <v>9</v>
      </c>
    </row>
    <row r="274" spans="1:25" hidden="1" x14ac:dyDescent="0.2">
      <c r="A274">
        <v>6901021</v>
      </c>
      <c r="B274" s="2" t="s">
        <v>553</v>
      </c>
      <c r="C274" s="2" t="s">
        <v>554</v>
      </c>
      <c r="E274" s="2" t="s">
        <v>16</v>
      </c>
      <c r="F274" s="2">
        <v>2</v>
      </c>
      <c r="G274" s="2" t="s">
        <v>16</v>
      </c>
      <c r="H274" s="2">
        <v>50</v>
      </c>
      <c r="I274" s="2">
        <v>10.752000000000001</v>
      </c>
      <c r="M274" s="2" t="s">
        <v>2</v>
      </c>
      <c r="N274">
        <v>10</v>
      </c>
      <c r="R274">
        <f t="shared" si="22"/>
        <v>537.6</v>
      </c>
      <c r="S274">
        <v>9</v>
      </c>
    </row>
    <row r="275" spans="1:25" hidden="1" x14ac:dyDescent="0.2">
      <c r="A275">
        <v>6901091</v>
      </c>
      <c r="B275" s="2" t="s">
        <v>555</v>
      </c>
      <c r="C275" s="2" t="s">
        <v>556</v>
      </c>
      <c r="E275" s="2" t="s">
        <v>1</v>
      </c>
      <c r="F275" s="2">
        <v>2</v>
      </c>
      <c r="G275" s="2" t="s">
        <v>1</v>
      </c>
      <c r="H275" s="2">
        <v>42</v>
      </c>
      <c r="I275" s="2">
        <v>5.76</v>
      </c>
      <c r="M275" s="2" t="s">
        <v>2</v>
      </c>
      <c r="N275">
        <v>7</v>
      </c>
      <c r="R275">
        <f t="shared" si="22"/>
        <v>241.92</v>
      </c>
      <c r="S275">
        <v>9</v>
      </c>
    </row>
    <row r="276" spans="1:25" hidden="1" x14ac:dyDescent="0.2">
      <c r="A276">
        <v>6901100</v>
      </c>
      <c r="B276" s="2" t="s">
        <v>557</v>
      </c>
      <c r="C276" s="2" t="s">
        <v>558</v>
      </c>
      <c r="E276" s="2" t="s">
        <v>1</v>
      </c>
      <c r="F276" s="2">
        <v>2</v>
      </c>
      <c r="G276" s="2" t="s">
        <v>1</v>
      </c>
      <c r="H276" s="2">
        <v>35</v>
      </c>
      <c r="I276" s="2">
        <v>10.8</v>
      </c>
      <c r="M276" s="2" t="s">
        <v>2</v>
      </c>
      <c r="N276">
        <v>7</v>
      </c>
      <c r="R276">
        <f t="shared" si="22"/>
        <v>378</v>
      </c>
      <c r="S276">
        <v>9</v>
      </c>
    </row>
    <row r="277" spans="1:25" hidden="1" x14ac:dyDescent="0.2">
      <c r="A277">
        <v>6901102</v>
      </c>
      <c r="B277" s="2" t="s">
        <v>559</v>
      </c>
      <c r="C277" s="2" t="s">
        <v>560</v>
      </c>
      <c r="E277" s="2" t="s">
        <v>1</v>
      </c>
      <c r="F277" s="2">
        <v>2</v>
      </c>
      <c r="G277" s="2" t="s">
        <v>1</v>
      </c>
      <c r="H277" s="2">
        <v>35</v>
      </c>
      <c r="I277" s="2">
        <v>10.8</v>
      </c>
      <c r="M277" s="2" t="s">
        <v>2</v>
      </c>
      <c r="N277">
        <v>7</v>
      </c>
      <c r="R277">
        <f t="shared" si="22"/>
        <v>378</v>
      </c>
      <c r="S277">
        <v>9</v>
      </c>
    </row>
    <row r="278" spans="1:25" hidden="1" x14ac:dyDescent="0.2">
      <c r="A278">
        <v>6901108</v>
      </c>
      <c r="B278" s="2" t="s">
        <v>561</v>
      </c>
      <c r="C278" s="2" t="s">
        <v>562</v>
      </c>
      <c r="E278" s="2" t="s">
        <v>1</v>
      </c>
      <c r="F278" s="2">
        <v>2</v>
      </c>
      <c r="G278" s="2" t="s">
        <v>1</v>
      </c>
      <c r="H278" s="2">
        <v>35</v>
      </c>
      <c r="I278" s="2">
        <v>10.8</v>
      </c>
      <c r="M278" s="2" t="s">
        <v>2</v>
      </c>
      <c r="N278">
        <v>7</v>
      </c>
      <c r="R278">
        <f t="shared" si="22"/>
        <v>378</v>
      </c>
      <c r="S278">
        <v>9</v>
      </c>
    </row>
    <row r="279" spans="1:25" hidden="1" x14ac:dyDescent="0.2">
      <c r="A279">
        <v>6901401</v>
      </c>
      <c r="B279" s="2" t="s">
        <v>563</v>
      </c>
      <c r="C279" s="2" t="s">
        <v>564</v>
      </c>
      <c r="E279" s="2" t="s">
        <v>16</v>
      </c>
      <c r="F279" s="2">
        <v>2</v>
      </c>
      <c r="G279" s="2" t="s">
        <v>16</v>
      </c>
      <c r="H279" s="2">
        <v>36</v>
      </c>
      <c r="I279" s="2">
        <v>12</v>
      </c>
      <c r="M279" s="2" t="s">
        <v>2</v>
      </c>
      <c r="N279">
        <v>6</v>
      </c>
      <c r="R279">
        <f t="shared" si="22"/>
        <v>432</v>
      </c>
      <c r="S279">
        <v>9</v>
      </c>
    </row>
    <row r="280" spans="1:25" hidden="1" x14ac:dyDescent="0.2">
      <c r="A280">
        <v>6901404</v>
      </c>
      <c r="B280" s="2" t="s">
        <v>565</v>
      </c>
      <c r="C280" s="2" t="s">
        <v>566</v>
      </c>
      <c r="E280" s="2" t="s">
        <v>16</v>
      </c>
      <c r="F280" s="2">
        <v>2</v>
      </c>
      <c r="G280" s="2" t="s">
        <v>16</v>
      </c>
      <c r="H280" s="2">
        <v>36</v>
      </c>
      <c r="I280" s="2">
        <v>12</v>
      </c>
      <c r="M280" s="2" t="s">
        <v>2</v>
      </c>
      <c r="N280">
        <v>6</v>
      </c>
      <c r="R280">
        <f t="shared" si="22"/>
        <v>432</v>
      </c>
      <c r="S280">
        <v>9</v>
      </c>
    </row>
    <row r="281" spans="1:25" hidden="1" x14ac:dyDescent="0.2">
      <c r="A281">
        <v>6911130</v>
      </c>
      <c r="B281" s="2" t="s">
        <v>567</v>
      </c>
      <c r="C281" s="2" t="s">
        <v>568</v>
      </c>
      <c r="E281" s="2" t="s">
        <v>16</v>
      </c>
      <c r="F281" s="2">
        <v>2</v>
      </c>
      <c r="G281" s="2" t="s">
        <v>16</v>
      </c>
      <c r="H281" s="2">
        <v>66</v>
      </c>
      <c r="I281" s="2">
        <v>4.8</v>
      </c>
      <c r="M281" s="2" t="s">
        <v>2</v>
      </c>
      <c r="N281">
        <v>11</v>
      </c>
      <c r="R281">
        <f t="shared" si="22"/>
        <v>316.8</v>
      </c>
      <c r="S281">
        <v>9</v>
      </c>
    </row>
    <row r="282" spans="1:25" hidden="1" x14ac:dyDescent="0.2">
      <c r="A282">
        <v>6911131</v>
      </c>
      <c r="B282" s="2" t="s">
        <v>569</v>
      </c>
      <c r="C282" s="2" t="s">
        <v>570</v>
      </c>
      <c r="E282" s="2" t="s">
        <v>1</v>
      </c>
      <c r="F282" s="2">
        <v>2</v>
      </c>
      <c r="G282" s="2" t="s">
        <v>1</v>
      </c>
      <c r="H282" s="2">
        <v>140</v>
      </c>
      <c r="I282" s="2">
        <v>3.6</v>
      </c>
      <c r="M282" s="2" t="s">
        <v>2</v>
      </c>
      <c r="N282">
        <v>20</v>
      </c>
      <c r="R282">
        <f t="shared" si="22"/>
        <v>504</v>
      </c>
      <c r="S282">
        <v>9</v>
      </c>
    </row>
    <row r="283" spans="1:25" hidden="1" x14ac:dyDescent="0.2">
      <c r="A283">
        <v>6911132</v>
      </c>
      <c r="B283" s="2" t="s">
        <v>571</v>
      </c>
      <c r="C283" s="2" t="s">
        <v>572</v>
      </c>
      <c r="E283" s="2" t="s">
        <v>1</v>
      </c>
      <c r="F283" s="2">
        <v>2</v>
      </c>
      <c r="G283" s="2" t="s">
        <v>1</v>
      </c>
      <c r="H283" s="2">
        <v>140</v>
      </c>
      <c r="I283" s="2">
        <v>3.6</v>
      </c>
      <c r="M283" s="2" t="s">
        <v>2</v>
      </c>
      <c r="N283">
        <v>20</v>
      </c>
      <c r="R283">
        <f t="shared" si="22"/>
        <v>504</v>
      </c>
      <c r="S283">
        <v>9</v>
      </c>
    </row>
    <row r="284" spans="1:25" x14ac:dyDescent="0.2">
      <c r="A284">
        <v>6912045</v>
      </c>
      <c r="B284" s="2" t="s">
        <v>573</v>
      </c>
      <c r="C284" s="2" t="s">
        <v>574</v>
      </c>
      <c r="E284" s="2" t="s">
        <v>1</v>
      </c>
      <c r="F284" s="2">
        <v>2</v>
      </c>
      <c r="G284" s="2" t="s">
        <v>1</v>
      </c>
      <c r="H284" s="2">
        <v>66</v>
      </c>
      <c r="I284" s="2">
        <v>5.76</v>
      </c>
      <c r="J284" s="2">
        <v>50</v>
      </c>
      <c r="K284" s="2">
        <v>50</v>
      </c>
      <c r="L284" s="2">
        <v>35</v>
      </c>
      <c r="M284" s="2" t="s">
        <v>2</v>
      </c>
      <c r="N284">
        <v>11</v>
      </c>
      <c r="R284">
        <f t="shared" si="22"/>
        <v>380.15999999999997</v>
      </c>
      <c r="S284">
        <v>9</v>
      </c>
      <c r="U284" t="s">
        <v>3</v>
      </c>
      <c r="V284" t="s">
        <v>3</v>
      </c>
      <c r="W284">
        <f t="shared" ref="W284:W286" si="25">S284</f>
        <v>9</v>
      </c>
      <c r="X284">
        <f t="shared" ref="X284:X286" si="26">R284+30</f>
        <v>410.15999999999997</v>
      </c>
      <c r="Y284" t="s">
        <v>3</v>
      </c>
    </row>
    <row r="285" spans="1:25" x14ac:dyDescent="0.2">
      <c r="A285">
        <v>6912046</v>
      </c>
      <c r="B285" s="2" t="s">
        <v>575</v>
      </c>
      <c r="C285" s="2" t="s">
        <v>576</v>
      </c>
      <c r="E285" s="2" t="s">
        <v>1</v>
      </c>
      <c r="F285" s="2">
        <v>2</v>
      </c>
      <c r="G285" s="2" t="s">
        <v>1</v>
      </c>
      <c r="H285" s="2">
        <v>66</v>
      </c>
      <c r="I285" s="2">
        <v>5.76</v>
      </c>
      <c r="J285" s="2">
        <v>50</v>
      </c>
      <c r="K285" s="2">
        <v>50</v>
      </c>
      <c r="L285" s="2">
        <v>35</v>
      </c>
      <c r="M285" s="2" t="s">
        <v>2</v>
      </c>
      <c r="N285">
        <v>11</v>
      </c>
      <c r="R285">
        <f t="shared" si="22"/>
        <v>380.15999999999997</v>
      </c>
      <c r="S285">
        <v>9</v>
      </c>
      <c r="U285" t="s">
        <v>3</v>
      </c>
      <c r="V285" t="s">
        <v>3</v>
      </c>
      <c r="W285">
        <f t="shared" si="25"/>
        <v>9</v>
      </c>
      <c r="X285">
        <f t="shared" si="26"/>
        <v>410.15999999999997</v>
      </c>
      <c r="Y285" t="s">
        <v>3</v>
      </c>
    </row>
    <row r="286" spans="1:25" x14ac:dyDescent="0.2">
      <c r="A286">
        <v>6912049</v>
      </c>
      <c r="B286" s="2" t="s">
        <v>577</v>
      </c>
      <c r="C286" s="2" t="s">
        <v>578</v>
      </c>
      <c r="E286" s="2" t="s">
        <v>1</v>
      </c>
      <c r="F286" s="2">
        <v>2</v>
      </c>
      <c r="G286" s="2" t="s">
        <v>1</v>
      </c>
      <c r="H286" s="2">
        <v>66</v>
      </c>
      <c r="I286" s="2">
        <v>5.76</v>
      </c>
      <c r="J286" s="2">
        <v>50</v>
      </c>
      <c r="K286" s="2">
        <v>50</v>
      </c>
      <c r="L286" s="2">
        <v>35</v>
      </c>
      <c r="M286" s="2" t="s">
        <v>2</v>
      </c>
      <c r="N286">
        <v>11</v>
      </c>
      <c r="R286">
        <f t="shared" si="22"/>
        <v>380.15999999999997</v>
      </c>
      <c r="S286">
        <v>9</v>
      </c>
      <c r="U286" t="s">
        <v>3</v>
      </c>
      <c r="V286" t="s">
        <v>3</v>
      </c>
      <c r="W286">
        <f t="shared" si="25"/>
        <v>9</v>
      </c>
      <c r="X286">
        <f t="shared" si="26"/>
        <v>410.15999999999997</v>
      </c>
      <c r="Y286" t="s">
        <v>3</v>
      </c>
    </row>
    <row r="287" spans="1:25" hidden="1" x14ac:dyDescent="0.2">
      <c r="A287">
        <v>6912059</v>
      </c>
      <c r="B287" s="2" t="s">
        <v>579</v>
      </c>
      <c r="C287" s="2" t="s">
        <v>580</v>
      </c>
      <c r="E287" s="2" t="s">
        <v>16</v>
      </c>
      <c r="F287" s="2">
        <v>10</v>
      </c>
      <c r="G287" s="2" t="s">
        <v>16</v>
      </c>
      <c r="H287" s="2">
        <v>32</v>
      </c>
      <c r="I287" s="2">
        <v>3.6</v>
      </c>
      <c r="M287" s="2" t="s">
        <v>2</v>
      </c>
      <c r="N287">
        <v>8</v>
      </c>
      <c r="R287">
        <f t="shared" si="22"/>
        <v>115.2</v>
      </c>
      <c r="S287">
        <v>9</v>
      </c>
    </row>
    <row r="288" spans="1:25" hidden="1" x14ac:dyDescent="0.2">
      <c r="A288">
        <v>6912061</v>
      </c>
      <c r="B288" s="2" t="s">
        <v>581</v>
      </c>
      <c r="C288" s="2" t="s">
        <v>582</v>
      </c>
      <c r="E288" s="2" t="s">
        <v>16</v>
      </c>
      <c r="F288" s="2">
        <v>2</v>
      </c>
      <c r="G288" s="2" t="s">
        <v>16</v>
      </c>
      <c r="H288" s="2">
        <v>110</v>
      </c>
      <c r="I288" s="2">
        <v>3.6</v>
      </c>
      <c r="M288" s="2" t="s">
        <v>2</v>
      </c>
      <c r="N288">
        <v>11</v>
      </c>
      <c r="R288">
        <f t="shared" si="22"/>
        <v>396</v>
      </c>
      <c r="S288">
        <v>9</v>
      </c>
    </row>
    <row r="289" spans="1:19" hidden="1" x14ac:dyDescent="0.2">
      <c r="A289">
        <v>6912062</v>
      </c>
      <c r="B289" s="2" t="s">
        <v>583</v>
      </c>
      <c r="C289" s="2" t="s">
        <v>584</v>
      </c>
      <c r="E289" s="2" t="s">
        <v>16</v>
      </c>
      <c r="F289" s="2">
        <v>2</v>
      </c>
      <c r="G289" s="2" t="s">
        <v>16</v>
      </c>
      <c r="H289" s="2">
        <v>110</v>
      </c>
      <c r="I289" s="2">
        <v>3.6</v>
      </c>
      <c r="M289" s="2" t="s">
        <v>2</v>
      </c>
      <c r="N289">
        <v>11</v>
      </c>
      <c r="R289">
        <f t="shared" si="22"/>
        <v>396</v>
      </c>
      <c r="S289">
        <v>9</v>
      </c>
    </row>
    <row r="290" spans="1:19" hidden="1" x14ac:dyDescent="0.2">
      <c r="A290">
        <v>6912063</v>
      </c>
      <c r="B290" s="2" t="s">
        <v>585</v>
      </c>
      <c r="C290" s="2" t="s">
        <v>586</v>
      </c>
      <c r="E290" s="2" t="s">
        <v>16</v>
      </c>
      <c r="F290" s="2">
        <v>2</v>
      </c>
      <c r="G290" s="2" t="s">
        <v>16</v>
      </c>
      <c r="H290" s="2">
        <v>110</v>
      </c>
      <c r="I290" s="2">
        <v>3.6</v>
      </c>
      <c r="M290" s="2" t="s">
        <v>2</v>
      </c>
      <c r="N290">
        <v>11</v>
      </c>
      <c r="R290">
        <f t="shared" si="22"/>
        <v>396</v>
      </c>
      <c r="S290">
        <v>9</v>
      </c>
    </row>
    <row r="291" spans="1:19" hidden="1" x14ac:dyDescent="0.2">
      <c r="A291">
        <v>6912064</v>
      </c>
      <c r="B291" s="2" t="s">
        <v>587</v>
      </c>
      <c r="C291" s="2" t="s">
        <v>588</v>
      </c>
      <c r="E291" s="2" t="s">
        <v>16</v>
      </c>
      <c r="F291" s="2">
        <v>2</v>
      </c>
      <c r="G291" s="2" t="s">
        <v>16</v>
      </c>
      <c r="H291" s="2">
        <v>110</v>
      </c>
      <c r="I291" s="2">
        <v>3.6</v>
      </c>
      <c r="M291" s="2" t="s">
        <v>2</v>
      </c>
      <c r="N291">
        <v>11</v>
      </c>
      <c r="R291">
        <f t="shared" si="22"/>
        <v>396</v>
      </c>
      <c r="S291">
        <v>9</v>
      </c>
    </row>
    <row r="292" spans="1:19" hidden="1" x14ac:dyDescent="0.2">
      <c r="A292">
        <v>6912065</v>
      </c>
      <c r="B292" s="2" t="s">
        <v>589</v>
      </c>
      <c r="C292" s="2" t="s">
        <v>590</v>
      </c>
      <c r="E292" s="2" t="s">
        <v>16</v>
      </c>
      <c r="F292" s="2">
        <v>2</v>
      </c>
      <c r="G292" s="2" t="s">
        <v>16</v>
      </c>
      <c r="H292" s="2">
        <v>110</v>
      </c>
      <c r="I292" s="2">
        <v>3.6</v>
      </c>
      <c r="M292" s="2" t="s">
        <v>2</v>
      </c>
      <c r="N292">
        <v>11</v>
      </c>
      <c r="R292">
        <f t="shared" si="22"/>
        <v>396</v>
      </c>
      <c r="S292">
        <v>9</v>
      </c>
    </row>
    <row r="293" spans="1:19" hidden="1" x14ac:dyDescent="0.2">
      <c r="A293">
        <v>6912066</v>
      </c>
      <c r="B293" s="2" t="s">
        <v>591</v>
      </c>
      <c r="C293" s="2" t="s">
        <v>592</v>
      </c>
      <c r="E293" s="2" t="s">
        <v>16</v>
      </c>
      <c r="F293" s="2">
        <v>2</v>
      </c>
      <c r="G293" s="2" t="s">
        <v>16</v>
      </c>
      <c r="H293" s="2">
        <v>110</v>
      </c>
      <c r="I293" s="2">
        <v>3.6</v>
      </c>
      <c r="M293" s="2" t="s">
        <v>2</v>
      </c>
      <c r="N293">
        <v>11</v>
      </c>
      <c r="R293">
        <f t="shared" si="22"/>
        <v>396</v>
      </c>
      <c r="S293">
        <v>9</v>
      </c>
    </row>
    <row r="294" spans="1:19" hidden="1" x14ac:dyDescent="0.2">
      <c r="A294">
        <v>6912067</v>
      </c>
      <c r="B294" s="2" t="s">
        <v>593</v>
      </c>
      <c r="C294" s="2" t="s">
        <v>594</v>
      </c>
      <c r="E294" s="2" t="s">
        <v>16</v>
      </c>
      <c r="F294" s="2">
        <v>2</v>
      </c>
      <c r="G294" s="2" t="s">
        <v>16</v>
      </c>
      <c r="H294" s="2">
        <v>77</v>
      </c>
      <c r="I294" s="2">
        <v>3.6</v>
      </c>
      <c r="M294" s="2" t="s">
        <v>2</v>
      </c>
      <c r="N294">
        <v>11</v>
      </c>
      <c r="R294">
        <f t="shared" si="22"/>
        <v>277.2</v>
      </c>
      <c r="S294">
        <v>9</v>
      </c>
    </row>
    <row r="295" spans="1:19" hidden="1" x14ac:dyDescent="0.2">
      <c r="A295">
        <v>6912069</v>
      </c>
      <c r="B295" s="2" t="s">
        <v>595</v>
      </c>
      <c r="C295" s="2" t="s">
        <v>596</v>
      </c>
      <c r="E295" s="2" t="s">
        <v>19</v>
      </c>
      <c r="F295" s="2">
        <v>2</v>
      </c>
      <c r="G295" s="2" t="s">
        <v>19</v>
      </c>
      <c r="H295" s="2">
        <v>1</v>
      </c>
      <c r="I295" s="2">
        <v>2.4</v>
      </c>
      <c r="M295" s="2" t="s">
        <v>2</v>
      </c>
      <c r="N295">
        <v>11</v>
      </c>
      <c r="R295">
        <f t="shared" si="22"/>
        <v>2.4</v>
      </c>
      <c r="S295">
        <v>9</v>
      </c>
    </row>
    <row r="296" spans="1:19" hidden="1" x14ac:dyDescent="0.2">
      <c r="A296">
        <v>6912117</v>
      </c>
      <c r="B296" s="2" t="s">
        <v>597</v>
      </c>
      <c r="C296" s="2" t="s">
        <v>598</v>
      </c>
      <c r="E296" s="2" t="s">
        <v>16</v>
      </c>
      <c r="F296" s="2">
        <v>2</v>
      </c>
      <c r="G296" s="2" t="s">
        <v>16</v>
      </c>
      <c r="H296" s="2">
        <v>40</v>
      </c>
      <c r="I296" s="2">
        <v>7.2</v>
      </c>
      <c r="M296" s="2" t="s">
        <v>2</v>
      </c>
      <c r="N296">
        <v>10</v>
      </c>
      <c r="R296">
        <f t="shared" si="22"/>
        <v>288</v>
      </c>
      <c r="S296">
        <v>9</v>
      </c>
    </row>
    <row r="297" spans="1:19" hidden="1" x14ac:dyDescent="0.2">
      <c r="A297">
        <v>6912118</v>
      </c>
      <c r="B297" s="2" t="s">
        <v>599</v>
      </c>
      <c r="C297" s="2" t="s">
        <v>600</v>
      </c>
      <c r="E297" s="2" t="s">
        <v>16</v>
      </c>
      <c r="F297" s="2">
        <v>2</v>
      </c>
      <c r="G297" s="2" t="s">
        <v>16</v>
      </c>
      <c r="H297" s="2">
        <v>40</v>
      </c>
      <c r="I297" s="2">
        <v>7.2</v>
      </c>
      <c r="M297" s="2" t="s">
        <v>2</v>
      </c>
      <c r="N297">
        <v>10</v>
      </c>
      <c r="R297">
        <f t="shared" si="22"/>
        <v>288</v>
      </c>
      <c r="S297">
        <v>9</v>
      </c>
    </row>
    <row r="298" spans="1:19" hidden="1" x14ac:dyDescent="0.2">
      <c r="A298">
        <v>6912122</v>
      </c>
      <c r="B298" s="2" t="s">
        <v>601</v>
      </c>
      <c r="C298" s="2" t="s">
        <v>602</v>
      </c>
      <c r="E298" s="2" t="s">
        <v>16</v>
      </c>
      <c r="F298" s="2">
        <v>2</v>
      </c>
      <c r="G298" s="2" t="s">
        <v>16</v>
      </c>
      <c r="H298" s="2">
        <v>40</v>
      </c>
      <c r="I298" s="2">
        <v>7.2</v>
      </c>
      <c r="M298" s="2" t="s">
        <v>2</v>
      </c>
      <c r="N298">
        <v>10</v>
      </c>
      <c r="R298">
        <f t="shared" si="22"/>
        <v>288</v>
      </c>
      <c r="S298">
        <v>9</v>
      </c>
    </row>
    <row r="299" spans="1:19" hidden="1" x14ac:dyDescent="0.2">
      <c r="A299">
        <v>6912123</v>
      </c>
      <c r="B299" s="2" t="s">
        <v>603</v>
      </c>
      <c r="C299" s="2" t="s">
        <v>604</v>
      </c>
      <c r="E299" s="2" t="s">
        <v>16</v>
      </c>
      <c r="F299" s="2">
        <v>2</v>
      </c>
      <c r="G299" s="2" t="s">
        <v>16</v>
      </c>
      <c r="H299" s="2">
        <v>40</v>
      </c>
      <c r="I299" s="2">
        <v>7.2</v>
      </c>
      <c r="M299" s="2" t="s">
        <v>2</v>
      </c>
      <c r="N299">
        <v>10</v>
      </c>
      <c r="R299">
        <f t="shared" si="22"/>
        <v>288</v>
      </c>
      <c r="S299">
        <v>9</v>
      </c>
    </row>
    <row r="300" spans="1:19" hidden="1" x14ac:dyDescent="0.2">
      <c r="A300">
        <v>6912134</v>
      </c>
      <c r="B300" s="2" t="s">
        <v>605</v>
      </c>
      <c r="C300" s="2" t="s">
        <v>606</v>
      </c>
      <c r="E300" s="2" t="s">
        <v>16</v>
      </c>
      <c r="F300" s="2">
        <v>2</v>
      </c>
      <c r="G300" s="2" t="s">
        <v>16</v>
      </c>
      <c r="H300" s="2">
        <v>70</v>
      </c>
      <c r="I300" s="2">
        <v>4.5599999999999996</v>
      </c>
      <c r="M300" s="2" t="s">
        <v>2</v>
      </c>
      <c r="N300">
        <v>10</v>
      </c>
      <c r="R300">
        <f t="shared" si="22"/>
        <v>319.2</v>
      </c>
      <c r="S300">
        <v>9</v>
      </c>
    </row>
    <row r="301" spans="1:19" hidden="1" x14ac:dyDescent="0.2">
      <c r="A301">
        <v>6912135</v>
      </c>
      <c r="B301" s="2" t="s">
        <v>607</v>
      </c>
      <c r="C301" s="2" t="s">
        <v>608</v>
      </c>
      <c r="E301" s="2" t="s">
        <v>16</v>
      </c>
      <c r="F301" s="2">
        <v>2</v>
      </c>
      <c r="G301" s="2" t="s">
        <v>16</v>
      </c>
      <c r="H301" s="2">
        <v>70</v>
      </c>
      <c r="I301" s="2">
        <v>4.5599999999999996</v>
      </c>
      <c r="M301" s="2" t="s">
        <v>2</v>
      </c>
      <c r="N301">
        <v>10</v>
      </c>
      <c r="R301">
        <f t="shared" si="22"/>
        <v>319.2</v>
      </c>
      <c r="S301">
        <v>9</v>
      </c>
    </row>
    <row r="302" spans="1:19" hidden="1" x14ac:dyDescent="0.2">
      <c r="A302">
        <v>6912136</v>
      </c>
      <c r="B302" s="2" t="s">
        <v>609</v>
      </c>
      <c r="C302" s="2" t="s">
        <v>610</v>
      </c>
      <c r="E302" s="2" t="s">
        <v>16</v>
      </c>
      <c r="F302" s="2">
        <v>2</v>
      </c>
      <c r="G302" s="2" t="s">
        <v>16</v>
      </c>
      <c r="H302" s="2">
        <v>70</v>
      </c>
      <c r="I302" s="2">
        <v>5.56</v>
      </c>
      <c r="M302" s="2" t="s">
        <v>2</v>
      </c>
      <c r="N302">
        <v>10</v>
      </c>
      <c r="R302">
        <f t="shared" si="22"/>
        <v>389.2</v>
      </c>
      <c r="S302">
        <v>9</v>
      </c>
    </row>
    <row r="303" spans="1:19" hidden="1" x14ac:dyDescent="0.2">
      <c r="A303">
        <v>6912137</v>
      </c>
      <c r="B303" s="2" t="s">
        <v>611</v>
      </c>
      <c r="C303" s="2" t="s">
        <v>612</v>
      </c>
      <c r="E303" s="2" t="s">
        <v>16</v>
      </c>
      <c r="F303" s="2">
        <v>2</v>
      </c>
      <c r="G303" s="2" t="s">
        <v>16</v>
      </c>
      <c r="H303" s="2">
        <v>70</v>
      </c>
      <c r="I303" s="2">
        <v>5.56</v>
      </c>
      <c r="M303" s="2" t="s">
        <v>2</v>
      </c>
      <c r="N303">
        <v>10</v>
      </c>
      <c r="R303">
        <f t="shared" si="22"/>
        <v>389.2</v>
      </c>
      <c r="S303">
        <v>9</v>
      </c>
    </row>
    <row r="304" spans="1:19" hidden="1" x14ac:dyDescent="0.2">
      <c r="A304">
        <v>6914018</v>
      </c>
      <c r="B304" s="2" t="s">
        <v>613</v>
      </c>
      <c r="C304" s="2" t="s">
        <v>614</v>
      </c>
      <c r="E304" s="2" t="s">
        <v>16</v>
      </c>
      <c r="F304" s="2">
        <v>2</v>
      </c>
      <c r="G304" s="2" t="s">
        <v>16</v>
      </c>
      <c r="H304" s="2">
        <v>70</v>
      </c>
      <c r="I304" s="2">
        <v>8.4</v>
      </c>
      <c r="M304" s="2" t="s">
        <v>2</v>
      </c>
      <c r="N304">
        <v>10</v>
      </c>
      <c r="R304">
        <f t="shared" si="22"/>
        <v>588</v>
      </c>
      <c r="S304">
        <v>9</v>
      </c>
    </row>
    <row r="305" spans="1:25" hidden="1" x14ac:dyDescent="0.2">
      <c r="A305">
        <v>6914019</v>
      </c>
      <c r="B305" s="2" t="s">
        <v>615</v>
      </c>
      <c r="C305" s="2" t="s">
        <v>616</v>
      </c>
      <c r="E305" s="2" t="s">
        <v>16</v>
      </c>
      <c r="F305" s="2">
        <v>2</v>
      </c>
      <c r="G305" s="2" t="s">
        <v>16</v>
      </c>
      <c r="H305" s="2">
        <v>91</v>
      </c>
      <c r="I305" s="2">
        <v>4.9000000000000004</v>
      </c>
      <c r="M305" s="2" t="s">
        <v>2</v>
      </c>
      <c r="N305">
        <v>13</v>
      </c>
      <c r="R305">
        <f t="shared" si="22"/>
        <v>445.90000000000003</v>
      </c>
      <c r="S305">
        <v>9</v>
      </c>
    </row>
    <row r="306" spans="1:25" hidden="1" x14ac:dyDescent="0.2">
      <c r="A306">
        <v>6914031</v>
      </c>
      <c r="B306" s="2" t="s">
        <v>617</v>
      </c>
      <c r="C306" s="2" t="s">
        <v>618</v>
      </c>
      <c r="E306" s="2" t="s">
        <v>1</v>
      </c>
      <c r="F306" s="2">
        <v>2</v>
      </c>
      <c r="G306" s="2" t="s">
        <v>1</v>
      </c>
      <c r="H306" s="2">
        <v>110</v>
      </c>
      <c r="I306" s="2">
        <v>3.84</v>
      </c>
      <c r="M306" s="2" t="s">
        <v>2</v>
      </c>
      <c r="N306">
        <v>10</v>
      </c>
      <c r="R306">
        <f t="shared" si="22"/>
        <v>422.4</v>
      </c>
      <c r="S306">
        <v>9</v>
      </c>
    </row>
    <row r="307" spans="1:25" hidden="1" x14ac:dyDescent="0.2">
      <c r="A307">
        <v>6914032</v>
      </c>
      <c r="B307" s="2" t="s">
        <v>619</v>
      </c>
      <c r="C307" s="2" t="s">
        <v>620</v>
      </c>
      <c r="E307" s="2" t="s">
        <v>16</v>
      </c>
      <c r="F307" s="2">
        <v>2</v>
      </c>
      <c r="G307" s="2" t="s">
        <v>16</v>
      </c>
      <c r="H307" s="2">
        <v>1</v>
      </c>
      <c r="I307" s="2">
        <v>8.4</v>
      </c>
      <c r="M307" s="2" t="s">
        <v>2</v>
      </c>
      <c r="N307">
        <v>8</v>
      </c>
      <c r="R307">
        <f t="shared" si="22"/>
        <v>8.4</v>
      </c>
      <c r="S307">
        <v>9</v>
      </c>
    </row>
    <row r="308" spans="1:25" hidden="1" x14ac:dyDescent="0.2">
      <c r="A308">
        <v>6915001</v>
      </c>
      <c r="B308" s="2" t="s">
        <v>621</v>
      </c>
      <c r="C308" s="2" t="s">
        <v>622</v>
      </c>
      <c r="E308" s="2" t="s">
        <v>1</v>
      </c>
      <c r="F308" s="2">
        <v>2</v>
      </c>
      <c r="G308" s="2" t="s">
        <v>1</v>
      </c>
      <c r="H308" s="2">
        <v>30</v>
      </c>
      <c r="I308" s="2">
        <v>9.6</v>
      </c>
      <c r="M308" s="2" t="s">
        <v>2</v>
      </c>
      <c r="N308">
        <v>5</v>
      </c>
      <c r="R308">
        <f t="shared" si="22"/>
        <v>288</v>
      </c>
      <c r="S308">
        <v>9</v>
      </c>
    </row>
    <row r="309" spans="1:25" hidden="1" x14ac:dyDescent="0.2">
      <c r="A309">
        <v>6915002</v>
      </c>
      <c r="B309" s="2" t="s">
        <v>623</v>
      </c>
      <c r="C309" s="2" t="s">
        <v>624</v>
      </c>
      <c r="E309" s="2" t="s">
        <v>1</v>
      </c>
      <c r="F309" s="2">
        <v>2</v>
      </c>
      <c r="G309" s="2" t="s">
        <v>1</v>
      </c>
      <c r="H309" s="2">
        <v>30</v>
      </c>
      <c r="I309" s="2">
        <v>9.6</v>
      </c>
      <c r="M309" s="2" t="s">
        <v>2</v>
      </c>
      <c r="N309">
        <v>5</v>
      </c>
      <c r="R309">
        <f t="shared" si="22"/>
        <v>288</v>
      </c>
      <c r="S309">
        <v>9</v>
      </c>
    </row>
    <row r="310" spans="1:25" hidden="1" x14ac:dyDescent="0.2">
      <c r="A310">
        <v>6915003</v>
      </c>
      <c r="B310" s="2" t="s">
        <v>625</v>
      </c>
      <c r="C310" s="2" t="s">
        <v>626</v>
      </c>
      <c r="E310" s="2" t="s">
        <v>1</v>
      </c>
      <c r="F310" s="2">
        <v>2</v>
      </c>
      <c r="G310" s="2" t="s">
        <v>1</v>
      </c>
      <c r="H310" s="2">
        <v>35</v>
      </c>
      <c r="I310" s="2">
        <v>9.6</v>
      </c>
      <c r="M310" s="2" t="s">
        <v>2</v>
      </c>
      <c r="N310">
        <v>5</v>
      </c>
      <c r="R310">
        <f t="shared" si="22"/>
        <v>336</v>
      </c>
      <c r="S310">
        <v>9</v>
      </c>
    </row>
    <row r="311" spans="1:25" hidden="1" x14ac:dyDescent="0.2">
      <c r="A311">
        <v>6915004</v>
      </c>
      <c r="B311" s="2" t="s">
        <v>627</v>
      </c>
      <c r="C311" s="2" t="s">
        <v>628</v>
      </c>
      <c r="E311" s="2" t="s">
        <v>1</v>
      </c>
      <c r="F311" s="2">
        <v>2</v>
      </c>
      <c r="G311" s="2" t="s">
        <v>1</v>
      </c>
      <c r="H311" s="2">
        <v>35</v>
      </c>
      <c r="I311" s="2">
        <v>9.6</v>
      </c>
      <c r="M311" s="2" t="s">
        <v>2</v>
      </c>
      <c r="N311">
        <v>5</v>
      </c>
      <c r="R311">
        <f t="shared" si="22"/>
        <v>336</v>
      </c>
      <c r="S311">
        <v>9</v>
      </c>
    </row>
    <row r="312" spans="1:25" hidden="1" x14ac:dyDescent="0.2">
      <c r="A312">
        <v>6915005</v>
      </c>
      <c r="B312" s="2" t="s">
        <v>629</v>
      </c>
      <c r="C312" s="2" t="s">
        <v>630</v>
      </c>
      <c r="E312" s="2" t="s">
        <v>1</v>
      </c>
      <c r="F312" s="2">
        <v>2</v>
      </c>
      <c r="G312" s="2" t="s">
        <v>1</v>
      </c>
      <c r="H312" s="2">
        <v>35</v>
      </c>
      <c r="I312" s="2">
        <v>9.6</v>
      </c>
      <c r="M312" s="2" t="s">
        <v>2</v>
      </c>
      <c r="N312">
        <v>5</v>
      </c>
      <c r="R312">
        <f t="shared" si="22"/>
        <v>336</v>
      </c>
      <c r="S312">
        <v>9</v>
      </c>
    </row>
    <row r="313" spans="1:25" hidden="1" x14ac:dyDescent="0.2">
      <c r="A313">
        <v>6915007</v>
      </c>
      <c r="B313" s="2" t="s">
        <v>631</v>
      </c>
      <c r="C313" s="2" t="s">
        <v>632</v>
      </c>
      <c r="E313" s="2" t="s">
        <v>1</v>
      </c>
      <c r="F313" s="2">
        <v>2</v>
      </c>
      <c r="G313" s="2" t="s">
        <v>1</v>
      </c>
      <c r="H313" s="2">
        <v>35</v>
      </c>
      <c r="I313" s="2">
        <v>9.6</v>
      </c>
      <c r="M313" s="2" t="s">
        <v>2</v>
      </c>
      <c r="N313">
        <v>5</v>
      </c>
      <c r="R313">
        <f t="shared" si="22"/>
        <v>336</v>
      </c>
      <c r="S313">
        <v>9</v>
      </c>
    </row>
    <row r="314" spans="1:25" x14ac:dyDescent="0.2">
      <c r="A314">
        <v>6915014</v>
      </c>
      <c r="B314" s="2" t="s">
        <v>633</v>
      </c>
      <c r="C314" s="2" t="s">
        <v>634</v>
      </c>
      <c r="E314" s="2" t="s">
        <v>1</v>
      </c>
      <c r="F314" s="2">
        <v>2</v>
      </c>
      <c r="G314" s="2" t="s">
        <v>1</v>
      </c>
      <c r="H314" s="2">
        <v>56</v>
      </c>
      <c r="I314" s="2">
        <v>6.72</v>
      </c>
      <c r="J314" s="2">
        <v>50</v>
      </c>
      <c r="K314" s="2">
        <v>50</v>
      </c>
      <c r="L314" s="2">
        <v>35</v>
      </c>
      <c r="M314" s="2" t="s">
        <v>2</v>
      </c>
      <c r="N314">
        <v>14</v>
      </c>
      <c r="R314">
        <f t="shared" si="22"/>
        <v>376.32</v>
      </c>
      <c r="S314">
        <v>9</v>
      </c>
      <c r="U314" t="s">
        <v>3</v>
      </c>
      <c r="V314" t="s">
        <v>3</v>
      </c>
      <c r="W314">
        <f t="shared" ref="W314:W318" si="27">S314</f>
        <v>9</v>
      </c>
      <c r="X314">
        <f t="shared" ref="X314:X318" si="28">R314+30</f>
        <v>406.32</v>
      </c>
      <c r="Y314" t="s">
        <v>3</v>
      </c>
    </row>
    <row r="315" spans="1:25" x14ac:dyDescent="0.2">
      <c r="A315">
        <v>6915015</v>
      </c>
      <c r="B315" s="2" t="s">
        <v>635</v>
      </c>
      <c r="C315" s="2" t="s">
        <v>636</v>
      </c>
      <c r="E315" s="2" t="s">
        <v>1</v>
      </c>
      <c r="F315" s="2">
        <v>2</v>
      </c>
      <c r="G315" s="2" t="s">
        <v>1</v>
      </c>
      <c r="H315" s="2">
        <v>56</v>
      </c>
      <c r="I315" s="2">
        <v>6.72</v>
      </c>
      <c r="J315" s="2">
        <v>50</v>
      </c>
      <c r="K315" s="2">
        <v>50</v>
      </c>
      <c r="L315" s="2">
        <v>35</v>
      </c>
      <c r="M315" s="2" t="s">
        <v>2</v>
      </c>
      <c r="N315">
        <v>14</v>
      </c>
      <c r="R315">
        <f t="shared" si="22"/>
        <v>376.32</v>
      </c>
      <c r="S315">
        <v>9</v>
      </c>
      <c r="U315" t="s">
        <v>3</v>
      </c>
      <c r="V315" t="s">
        <v>3</v>
      </c>
      <c r="W315">
        <f t="shared" si="27"/>
        <v>9</v>
      </c>
      <c r="X315">
        <f t="shared" si="28"/>
        <v>406.32</v>
      </c>
      <c r="Y315" t="s">
        <v>3</v>
      </c>
    </row>
    <row r="316" spans="1:25" x14ac:dyDescent="0.2">
      <c r="A316">
        <v>6915016</v>
      </c>
      <c r="B316" s="2" t="s">
        <v>637</v>
      </c>
      <c r="C316" s="2" t="s">
        <v>638</v>
      </c>
      <c r="E316" s="2" t="s">
        <v>1</v>
      </c>
      <c r="F316" s="2">
        <v>2</v>
      </c>
      <c r="G316" s="2" t="s">
        <v>1</v>
      </c>
      <c r="H316" s="2">
        <v>56</v>
      </c>
      <c r="I316" s="2">
        <v>6.72</v>
      </c>
      <c r="J316" s="2">
        <v>50</v>
      </c>
      <c r="K316" s="2">
        <v>50</v>
      </c>
      <c r="L316" s="2">
        <v>35</v>
      </c>
      <c r="M316" s="2" t="s">
        <v>2</v>
      </c>
      <c r="N316">
        <v>14</v>
      </c>
      <c r="R316">
        <f t="shared" si="22"/>
        <v>376.32</v>
      </c>
      <c r="S316">
        <v>9</v>
      </c>
      <c r="U316" t="s">
        <v>3</v>
      </c>
      <c r="V316" t="s">
        <v>3</v>
      </c>
      <c r="W316">
        <f t="shared" si="27"/>
        <v>9</v>
      </c>
      <c r="X316">
        <f t="shared" si="28"/>
        <v>406.32</v>
      </c>
      <c r="Y316" t="s">
        <v>3</v>
      </c>
    </row>
    <row r="317" spans="1:25" x14ac:dyDescent="0.2">
      <c r="A317">
        <v>6915041</v>
      </c>
      <c r="B317" s="2" t="s">
        <v>639</v>
      </c>
      <c r="C317" s="2" t="s">
        <v>640</v>
      </c>
      <c r="E317" s="2" t="s">
        <v>1</v>
      </c>
      <c r="F317" s="2">
        <v>2</v>
      </c>
      <c r="G317" s="2" t="s">
        <v>1</v>
      </c>
      <c r="H317" s="2">
        <v>1</v>
      </c>
      <c r="I317" s="2">
        <v>9.6</v>
      </c>
      <c r="J317" s="2">
        <v>50</v>
      </c>
      <c r="K317" s="2">
        <v>50</v>
      </c>
      <c r="L317" s="2">
        <v>35</v>
      </c>
      <c r="M317" s="2" t="s">
        <v>2</v>
      </c>
      <c r="R317">
        <f t="shared" si="22"/>
        <v>9.6</v>
      </c>
      <c r="S317">
        <v>9</v>
      </c>
      <c r="U317" t="s">
        <v>3</v>
      </c>
      <c r="V317" t="s">
        <v>3</v>
      </c>
      <c r="W317">
        <f t="shared" si="27"/>
        <v>9</v>
      </c>
      <c r="X317">
        <f t="shared" si="28"/>
        <v>39.6</v>
      </c>
      <c r="Y317" t="s">
        <v>3</v>
      </c>
    </row>
    <row r="318" spans="1:25" x14ac:dyDescent="0.2">
      <c r="A318">
        <v>6915042</v>
      </c>
      <c r="B318" s="2" t="s">
        <v>641</v>
      </c>
      <c r="C318" s="2" t="s">
        <v>642</v>
      </c>
      <c r="E318" s="2" t="s">
        <v>1</v>
      </c>
      <c r="F318" s="2">
        <v>2</v>
      </c>
      <c r="G318" s="2" t="s">
        <v>1</v>
      </c>
      <c r="H318" s="2">
        <v>1</v>
      </c>
      <c r="I318" s="2">
        <v>9.6</v>
      </c>
      <c r="J318" s="2">
        <v>50</v>
      </c>
      <c r="K318" s="2">
        <v>50</v>
      </c>
      <c r="L318" s="2">
        <v>35</v>
      </c>
      <c r="M318" s="2" t="s">
        <v>2</v>
      </c>
      <c r="R318">
        <f t="shared" si="22"/>
        <v>9.6</v>
      </c>
      <c r="S318">
        <v>9</v>
      </c>
      <c r="U318" t="s">
        <v>3</v>
      </c>
      <c r="V318" t="s">
        <v>3</v>
      </c>
      <c r="W318">
        <f t="shared" si="27"/>
        <v>9</v>
      </c>
      <c r="X318">
        <f t="shared" si="28"/>
        <v>39.6</v>
      </c>
      <c r="Y318" t="s">
        <v>3</v>
      </c>
    </row>
    <row r="319" spans="1:25" hidden="1" x14ac:dyDescent="0.2">
      <c r="A319">
        <v>6915091</v>
      </c>
      <c r="B319" s="2" t="s">
        <v>643</v>
      </c>
      <c r="C319" s="2" t="s">
        <v>644</v>
      </c>
      <c r="E319" s="2" t="s">
        <v>16</v>
      </c>
      <c r="F319" s="2">
        <v>2</v>
      </c>
      <c r="G319" s="2" t="s">
        <v>16</v>
      </c>
      <c r="H319" s="2">
        <v>96</v>
      </c>
      <c r="I319" s="2">
        <v>1.8</v>
      </c>
      <c r="M319" s="2" t="s">
        <v>2</v>
      </c>
      <c r="N319">
        <v>12</v>
      </c>
      <c r="R319">
        <f t="shared" si="22"/>
        <v>172.8</v>
      </c>
      <c r="S319">
        <v>9</v>
      </c>
    </row>
    <row r="320" spans="1:25" hidden="1" x14ac:dyDescent="0.2">
      <c r="A320">
        <v>6915092</v>
      </c>
      <c r="B320" s="2" t="s">
        <v>645</v>
      </c>
      <c r="C320" s="2" t="s">
        <v>646</v>
      </c>
      <c r="E320" s="2" t="s">
        <v>16</v>
      </c>
      <c r="F320" s="2">
        <v>2</v>
      </c>
      <c r="G320" s="2" t="s">
        <v>16</v>
      </c>
      <c r="H320" s="2">
        <v>96</v>
      </c>
      <c r="I320" s="2">
        <v>1.8</v>
      </c>
      <c r="M320" s="2" t="s">
        <v>2</v>
      </c>
      <c r="N320">
        <v>12</v>
      </c>
      <c r="R320">
        <f t="shared" si="22"/>
        <v>172.8</v>
      </c>
      <c r="S320">
        <v>9</v>
      </c>
    </row>
    <row r="321" spans="1:25" hidden="1" x14ac:dyDescent="0.2">
      <c r="A321">
        <v>6917109</v>
      </c>
      <c r="B321" s="2" t="s">
        <v>647</v>
      </c>
      <c r="C321" s="2" t="s">
        <v>648</v>
      </c>
      <c r="E321" s="2" t="s">
        <v>16</v>
      </c>
      <c r="F321" s="2">
        <v>2</v>
      </c>
      <c r="G321" s="2" t="s">
        <v>16</v>
      </c>
      <c r="H321" s="2">
        <v>1</v>
      </c>
      <c r="I321" s="2">
        <v>8.4</v>
      </c>
      <c r="M321" s="2" t="s">
        <v>2</v>
      </c>
      <c r="N321">
        <v>8</v>
      </c>
      <c r="R321">
        <f t="shared" si="22"/>
        <v>8.4</v>
      </c>
      <c r="S321">
        <v>9</v>
      </c>
    </row>
    <row r="322" spans="1:25" hidden="1" x14ac:dyDescent="0.2">
      <c r="A322">
        <v>6917113</v>
      </c>
      <c r="B322" s="2" t="s">
        <v>649</v>
      </c>
      <c r="C322" s="2" t="s">
        <v>650</v>
      </c>
      <c r="E322" s="2" t="s">
        <v>16</v>
      </c>
      <c r="F322" s="2">
        <v>2</v>
      </c>
      <c r="G322" s="2" t="s">
        <v>16</v>
      </c>
      <c r="H322" s="2">
        <v>60</v>
      </c>
      <c r="I322" s="2">
        <v>10</v>
      </c>
      <c r="M322" s="2" t="s">
        <v>2</v>
      </c>
      <c r="N322">
        <v>10</v>
      </c>
      <c r="R322">
        <f t="shared" si="22"/>
        <v>600</v>
      </c>
      <c r="S322">
        <v>9</v>
      </c>
    </row>
    <row r="323" spans="1:25" hidden="1" x14ac:dyDescent="0.2">
      <c r="A323">
        <v>6918006</v>
      </c>
      <c r="B323" s="2" t="s">
        <v>651</v>
      </c>
      <c r="C323" s="2" t="s">
        <v>652</v>
      </c>
      <c r="E323" s="2" t="s">
        <v>16</v>
      </c>
      <c r="F323" s="2">
        <v>2</v>
      </c>
      <c r="G323" s="2" t="s">
        <v>16</v>
      </c>
      <c r="H323" s="2">
        <v>56</v>
      </c>
      <c r="I323" s="2">
        <v>2.7</v>
      </c>
      <c r="M323" s="2" t="s">
        <v>2</v>
      </c>
      <c r="N323">
        <v>8</v>
      </c>
      <c r="R323">
        <f t="shared" ref="R323:R342" si="29">H323*I323</f>
        <v>151.20000000000002</v>
      </c>
      <c r="S323">
        <v>9</v>
      </c>
    </row>
    <row r="324" spans="1:25" hidden="1" x14ac:dyDescent="0.2">
      <c r="A324">
        <v>6918007</v>
      </c>
      <c r="B324" s="2" t="s">
        <v>653</v>
      </c>
      <c r="C324" s="2" t="s">
        <v>654</v>
      </c>
      <c r="E324" s="2" t="s">
        <v>16</v>
      </c>
      <c r="F324" s="2">
        <v>2</v>
      </c>
      <c r="G324" s="2" t="s">
        <v>16</v>
      </c>
      <c r="H324" s="2">
        <v>56</v>
      </c>
      <c r="I324" s="2">
        <v>2.7</v>
      </c>
      <c r="M324" s="2" t="s">
        <v>2</v>
      </c>
      <c r="N324">
        <v>8</v>
      </c>
      <c r="R324">
        <f t="shared" si="29"/>
        <v>151.20000000000002</v>
      </c>
      <c r="S324">
        <v>9</v>
      </c>
    </row>
    <row r="325" spans="1:25" hidden="1" x14ac:dyDescent="0.2">
      <c r="A325">
        <v>6918008</v>
      </c>
      <c r="B325" s="2" t="s">
        <v>655</v>
      </c>
      <c r="C325" s="2" t="s">
        <v>656</v>
      </c>
      <c r="E325" s="2" t="s">
        <v>16</v>
      </c>
      <c r="F325" s="2">
        <v>2</v>
      </c>
      <c r="G325" s="2" t="s">
        <v>16</v>
      </c>
      <c r="H325" s="2">
        <v>56</v>
      </c>
      <c r="I325" s="2">
        <v>2.7</v>
      </c>
      <c r="M325" s="2" t="s">
        <v>2</v>
      </c>
      <c r="N325">
        <v>8</v>
      </c>
      <c r="R325">
        <f t="shared" si="29"/>
        <v>151.20000000000002</v>
      </c>
      <c r="S325">
        <v>9</v>
      </c>
    </row>
    <row r="326" spans="1:25" hidden="1" x14ac:dyDescent="0.2">
      <c r="A326">
        <v>6918009</v>
      </c>
      <c r="B326" s="2" t="s">
        <v>657</v>
      </c>
      <c r="C326" s="2" t="s">
        <v>658</v>
      </c>
      <c r="E326" s="2" t="s">
        <v>1</v>
      </c>
      <c r="F326" s="2">
        <v>2</v>
      </c>
      <c r="G326" s="2" t="s">
        <v>1</v>
      </c>
      <c r="H326" s="2">
        <v>24</v>
      </c>
      <c r="I326" s="2">
        <v>4.4160000000000004</v>
      </c>
      <c r="M326" s="2" t="s">
        <v>2</v>
      </c>
      <c r="N326">
        <v>6</v>
      </c>
      <c r="R326">
        <f t="shared" si="29"/>
        <v>105.98400000000001</v>
      </c>
      <c r="S326">
        <v>9</v>
      </c>
    </row>
    <row r="327" spans="1:25" hidden="1" x14ac:dyDescent="0.2">
      <c r="A327">
        <v>6918010</v>
      </c>
      <c r="B327" s="2" t="s">
        <v>659</v>
      </c>
      <c r="C327" s="2" t="s">
        <v>660</v>
      </c>
      <c r="E327" s="2" t="s">
        <v>1</v>
      </c>
      <c r="F327" s="2">
        <v>2</v>
      </c>
      <c r="G327" s="2" t="s">
        <v>1</v>
      </c>
      <c r="H327" s="2">
        <v>30</v>
      </c>
      <c r="I327" s="2">
        <v>2.2080000000000002</v>
      </c>
      <c r="M327" s="2" t="s">
        <v>2</v>
      </c>
      <c r="N327">
        <v>6</v>
      </c>
      <c r="R327">
        <f t="shared" si="29"/>
        <v>66.240000000000009</v>
      </c>
      <c r="S327">
        <v>9</v>
      </c>
    </row>
    <row r="328" spans="1:25" hidden="1" x14ac:dyDescent="0.2">
      <c r="A328">
        <v>6918014</v>
      </c>
      <c r="B328" s="2" t="s">
        <v>661</v>
      </c>
      <c r="C328" s="2" t="s">
        <v>662</v>
      </c>
      <c r="E328" s="2" t="s">
        <v>16</v>
      </c>
      <c r="F328" s="2">
        <v>2</v>
      </c>
      <c r="G328" s="2" t="s">
        <v>16</v>
      </c>
      <c r="H328" s="2">
        <v>56</v>
      </c>
      <c r="I328" s="2">
        <v>2.7</v>
      </c>
      <c r="M328" s="2" t="s">
        <v>2</v>
      </c>
      <c r="N328">
        <v>8</v>
      </c>
      <c r="R328">
        <f t="shared" si="29"/>
        <v>151.20000000000002</v>
      </c>
      <c r="S328">
        <v>9</v>
      </c>
    </row>
    <row r="329" spans="1:25" hidden="1" x14ac:dyDescent="0.2">
      <c r="A329">
        <v>6918015</v>
      </c>
      <c r="B329" s="2" t="s">
        <v>663</v>
      </c>
      <c r="C329" s="2" t="s">
        <v>664</v>
      </c>
      <c r="E329" s="2" t="s">
        <v>16</v>
      </c>
      <c r="F329" s="2">
        <v>2</v>
      </c>
      <c r="G329" s="2" t="s">
        <v>16</v>
      </c>
      <c r="H329" s="2">
        <v>56</v>
      </c>
      <c r="I329" s="2">
        <v>2.7</v>
      </c>
      <c r="M329" s="2" t="s">
        <v>2</v>
      </c>
      <c r="N329">
        <v>8</v>
      </c>
      <c r="R329">
        <f t="shared" si="29"/>
        <v>151.20000000000002</v>
      </c>
      <c r="S329">
        <v>9</v>
      </c>
    </row>
    <row r="330" spans="1:25" hidden="1" x14ac:dyDescent="0.2">
      <c r="A330">
        <v>6940006</v>
      </c>
      <c r="B330" s="2" t="s">
        <v>665</v>
      </c>
      <c r="C330" s="2" t="s">
        <v>666</v>
      </c>
      <c r="E330" s="2" t="s">
        <v>16</v>
      </c>
      <c r="F330" s="2">
        <v>2</v>
      </c>
      <c r="G330" s="2" t="s">
        <v>16</v>
      </c>
      <c r="H330" s="2">
        <v>180</v>
      </c>
      <c r="I330" s="2">
        <v>2.16</v>
      </c>
      <c r="M330" s="2" t="s">
        <v>2</v>
      </c>
      <c r="N330">
        <v>18</v>
      </c>
      <c r="R330">
        <f t="shared" si="29"/>
        <v>388.8</v>
      </c>
      <c r="S330">
        <v>9</v>
      </c>
    </row>
    <row r="331" spans="1:25" hidden="1" x14ac:dyDescent="0.2">
      <c r="A331">
        <v>6940007</v>
      </c>
      <c r="B331" s="2" t="s">
        <v>667</v>
      </c>
      <c r="C331" s="2" t="s">
        <v>668</v>
      </c>
      <c r="E331" s="2" t="s">
        <v>16</v>
      </c>
      <c r="F331" s="2">
        <v>2</v>
      </c>
      <c r="G331" s="2" t="s">
        <v>16</v>
      </c>
      <c r="H331" s="2">
        <v>180</v>
      </c>
      <c r="I331" s="2">
        <v>2.16</v>
      </c>
      <c r="M331" s="2" t="s">
        <v>2</v>
      </c>
      <c r="N331">
        <v>18</v>
      </c>
      <c r="R331">
        <f t="shared" si="29"/>
        <v>388.8</v>
      </c>
      <c r="S331">
        <v>9</v>
      </c>
    </row>
    <row r="332" spans="1:25" x14ac:dyDescent="0.2">
      <c r="A332">
        <v>6961001</v>
      </c>
      <c r="B332" s="2" t="s">
        <v>669</v>
      </c>
      <c r="C332" s="2" t="s">
        <v>670</v>
      </c>
      <c r="E332" s="2" t="s">
        <v>16</v>
      </c>
      <c r="F332" s="2">
        <v>2</v>
      </c>
      <c r="G332" s="2" t="s">
        <v>16</v>
      </c>
      <c r="H332" s="2">
        <v>240</v>
      </c>
      <c r="I332" s="2">
        <v>0.97499999999999998</v>
      </c>
      <c r="J332" s="2">
        <v>50</v>
      </c>
      <c r="K332" s="2">
        <v>50</v>
      </c>
      <c r="L332" s="2">
        <v>35</v>
      </c>
      <c r="M332" s="2" t="s">
        <v>2</v>
      </c>
      <c r="N332">
        <v>20</v>
      </c>
      <c r="R332">
        <f t="shared" si="29"/>
        <v>234</v>
      </c>
      <c r="S332">
        <v>9</v>
      </c>
      <c r="U332" t="s">
        <v>3</v>
      </c>
      <c r="V332" t="s">
        <v>3</v>
      </c>
      <c r="W332">
        <f t="shared" ref="W332:W343" si="30">S332</f>
        <v>9</v>
      </c>
      <c r="X332">
        <f t="shared" ref="X332:X343" si="31">R332+30</f>
        <v>264</v>
      </c>
      <c r="Y332" t="s">
        <v>3</v>
      </c>
    </row>
    <row r="333" spans="1:25" x14ac:dyDescent="0.2">
      <c r="A333">
        <v>6961002</v>
      </c>
      <c r="B333" s="2" t="s">
        <v>671</v>
      </c>
      <c r="C333" s="2" t="s">
        <v>672</v>
      </c>
      <c r="E333" s="2" t="s">
        <v>16</v>
      </c>
      <c r="F333" s="2">
        <v>2</v>
      </c>
      <c r="G333" s="2" t="s">
        <v>16</v>
      </c>
      <c r="H333" s="2">
        <v>240</v>
      </c>
      <c r="I333" s="2">
        <v>0.97499999999999998</v>
      </c>
      <c r="J333" s="2">
        <v>50</v>
      </c>
      <c r="K333" s="2">
        <v>50</v>
      </c>
      <c r="L333" s="2">
        <v>35</v>
      </c>
      <c r="M333" s="2" t="s">
        <v>2</v>
      </c>
      <c r="N333">
        <v>20</v>
      </c>
      <c r="R333">
        <f t="shared" si="29"/>
        <v>234</v>
      </c>
      <c r="S333">
        <v>9</v>
      </c>
      <c r="U333" t="s">
        <v>3</v>
      </c>
      <c r="V333" t="s">
        <v>3</v>
      </c>
      <c r="W333">
        <f t="shared" si="30"/>
        <v>9</v>
      </c>
      <c r="X333">
        <f t="shared" si="31"/>
        <v>264</v>
      </c>
      <c r="Y333" t="s">
        <v>3</v>
      </c>
    </row>
    <row r="334" spans="1:25" x14ac:dyDescent="0.2">
      <c r="A334">
        <v>9301072</v>
      </c>
      <c r="B334" s="2" t="s">
        <v>673</v>
      </c>
      <c r="C334" s="2" t="s">
        <v>674</v>
      </c>
      <c r="E334" s="2" t="s">
        <v>16</v>
      </c>
      <c r="F334" s="2">
        <v>2</v>
      </c>
      <c r="G334" s="2" t="s">
        <v>16</v>
      </c>
      <c r="H334" s="2">
        <v>108</v>
      </c>
      <c r="I334" s="2">
        <v>8</v>
      </c>
      <c r="J334" s="2">
        <v>50</v>
      </c>
      <c r="K334" s="2">
        <v>50</v>
      </c>
      <c r="L334" s="2">
        <v>35</v>
      </c>
      <c r="M334" s="2" t="s">
        <v>2</v>
      </c>
      <c r="N334">
        <v>27</v>
      </c>
      <c r="R334">
        <f t="shared" si="29"/>
        <v>864</v>
      </c>
      <c r="S334">
        <v>9</v>
      </c>
      <c r="U334" t="s">
        <v>2</v>
      </c>
      <c r="V334" t="s">
        <v>3</v>
      </c>
      <c r="W334">
        <f t="shared" si="30"/>
        <v>9</v>
      </c>
      <c r="X334">
        <f t="shared" si="31"/>
        <v>894</v>
      </c>
      <c r="Y334" t="s">
        <v>3</v>
      </c>
    </row>
    <row r="335" spans="1:25" x14ac:dyDescent="0.2">
      <c r="A335">
        <v>9301170</v>
      </c>
      <c r="B335" s="2" t="s">
        <v>675</v>
      </c>
      <c r="C335" s="2" t="s">
        <v>676</v>
      </c>
      <c r="E335" s="2" t="s">
        <v>16</v>
      </c>
      <c r="F335" s="2">
        <v>2</v>
      </c>
      <c r="G335" s="2" t="s">
        <v>16</v>
      </c>
      <c r="H335" s="2">
        <v>60</v>
      </c>
      <c r="I335" s="2">
        <v>12.036</v>
      </c>
      <c r="K335" s="2">
        <v>50</v>
      </c>
      <c r="L335" s="2">
        <v>35</v>
      </c>
      <c r="M335" s="2" t="s">
        <v>2</v>
      </c>
      <c r="N335">
        <v>10</v>
      </c>
      <c r="R335">
        <f t="shared" si="29"/>
        <v>722.16</v>
      </c>
      <c r="S335">
        <v>9</v>
      </c>
      <c r="U335" t="s">
        <v>2</v>
      </c>
      <c r="V335" t="s">
        <v>3</v>
      </c>
      <c r="W335">
        <f t="shared" si="30"/>
        <v>9</v>
      </c>
      <c r="X335">
        <f t="shared" si="31"/>
        <v>752.16</v>
      </c>
      <c r="Y335" t="s">
        <v>3</v>
      </c>
    </row>
    <row r="336" spans="1:25" x14ac:dyDescent="0.2">
      <c r="A336">
        <v>9301180</v>
      </c>
      <c r="B336" s="2" t="s">
        <v>677</v>
      </c>
      <c r="C336" s="2" t="s">
        <v>678</v>
      </c>
      <c r="E336" s="2" t="s">
        <v>16</v>
      </c>
      <c r="F336" s="2">
        <v>2</v>
      </c>
      <c r="G336" s="2" t="s">
        <v>16</v>
      </c>
      <c r="H336" s="2">
        <v>60</v>
      </c>
      <c r="I336" s="2">
        <v>12.036</v>
      </c>
      <c r="K336" s="2">
        <v>50</v>
      </c>
      <c r="L336" s="2">
        <v>35</v>
      </c>
      <c r="M336" s="2" t="s">
        <v>2</v>
      </c>
      <c r="N336">
        <v>10</v>
      </c>
      <c r="R336">
        <f t="shared" si="29"/>
        <v>722.16</v>
      </c>
      <c r="S336">
        <v>9</v>
      </c>
      <c r="U336" t="s">
        <v>2</v>
      </c>
      <c r="V336" t="s">
        <v>3</v>
      </c>
      <c r="W336">
        <f t="shared" si="30"/>
        <v>9</v>
      </c>
      <c r="X336">
        <f t="shared" si="31"/>
        <v>752.16</v>
      </c>
      <c r="Y336" t="s">
        <v>3</v>
      </c>
    </row>
    <row r="337" spans="1:25" x14ac:dyDescent="0.2">
      <c r="A337">
        <v>9301220</v>
      </c>
      <c r="B337" s="2" t="s">
        <v>679</v>
      </c>
      <c r="C337" s="2" t="s">
        <v>680</v>
      </c>
      <c r="E337" s="2" t="s">
        <v>16</v>
      </c>
      <c r="F337" s="2">
        <v>2</v>
      </c>
      <c r="G337" s="2" t="s">
        <v>16</v>
      </c>
      <c r="H337" s="2">
        <v>70</v>
      </c>
      <c r="I337" s="2">
        <v>8.3070000000000004</v>
      </c>
      <c r="K337" s="2">
        <v>50</v>
      </c>
      <c r="L337" s="2">
        <v>35</v>
      </c>
      <c r="M337" s="2" t="s">
        <v>2</v>
      </c>
      <c r="N337">
        <v>14</v>
      </c>
      <c r="R337">
        <f t="shared" si="29"/>
        <v>581.49</v>
      </c>
      <c r="S337">
        <v>9</v>
      </c>
      <c r="U337" t="s">
        <v>2</v>
      </c>
      <c r="V337" t="s">
        <v>3</v>
      </c>
      <c r="W337">
        <f t="shared" si="30"/>
        <v>9</v>
      </c>
      <c r="X337">
        <f t="shared" si="31"/>
        <v>611.49</v>
      </c>
      <c r="Y337" t="s">
        <v>3</v>
      </c>
    </row>
    <row r="338" spans="1:25" x14ac:dyDescent="0.2">
      <c r="A338">
        <v>9301221</v>
      </c>
      <c r="B338" s="2" t="s">
        <v>681</v>
      </c>
      <c r="C338" s="2" t="s">
        <v>682</v>
      </c>
      <c r="E338" s="2" t="s">
        <v>16</v>
      </c>
      <c r="F338" s="2">
        <v>2</v>
      </c>
      <c r="G338" s="2" t="s">
        <v>16</v>
      </c>
      <c r="H338" s="2">
        <v>70</v>
      </c>
      <c r="I338" s="2">
        <v>8.3070000000000004</v>
      </c>
      <c r="K338" s="2">
        <v>50</v>
      </c>
      <c r="L338" s="2">
        <v>60</v>
      </c>
      <c r="M338" s="2" t="s">
        <v>2</v>
      </c>
      <c r="N338">
        <v>14</v>
      </c>
      <c r="R338">
        <f t="shared" si="29"/>
        <v>581.49</v>
      </c>
      <c r="S338">
        <v>9</v>
      </c>
      <c r="U338" t="s">
        <v>2</v>
      </c>
      <c r="V338" t="s">
        <v>3</v>
      </c>
      <c r="W338">
        <f t="shared" si="30"/>
        <v>9</v>
      </c>
      <c r="X338">
        <f t="shared" si="31"/>
        <v>611.49</v>
      </c>
      <c r="Y338" t="s">
        <v>3</v>
      </c>
    </row>
    <row r="339" spans="1:25" x14ac:dyDescent="0.2">
      <c r="A339">
        <v>9301340</v>
      </c>
      <c r="B339" s="2" t="s">
        <v>683</v>
      </c>
      <c r="C339" s="2" t="s">
        <v>684</v>
      </c>
      <c r="E339" s="2" t="s">
        <v>16</v>
      </c>
      <c r="F339" s="2">
        <v>2</v>
      </c>
      <c r="G339" s="2" t="s">
        <v>16</v>
      </c>
      <c r="H339" s="2">
        <v>56</v>
      </c>
      <c r="I339" s="2">
        <v>12.5</v>
      </c>
      <c r="K339" s="2">
        <v>50</v>
      </c>
      <c r="L339" s="2">
        <v>60</v>
      </c>
      <c r="M339" s="2" t="s">
        <v>2</v>
      </c>
      <c r="N339">
        <v>8</v>
      </c>
      <c r="R339">
        <f t="shared" si="29"/>
        <v>700</v>
      </c>
      <c r="S339">
        <v>9</v>
      </c>
      <c r="U339" t="s">
        <v>2</v>
      </c>
      <c r="V339" t="s">
        <v>3</v>
      </c>
      <c r="W339">
        <f t="shared" si="30"/>
        <v>9</v>
      </c>
      <c r="X339">
        <f t="shared" si="31"/>
        <v>730</v>
      </c>
      <c r="Y339" t="s">
        <v>3</v>
      </c>
    </row>
    <row r="340" spans="1:25" x14ac:dyDescent="0.2">
      <c r="A340">
        <v>9301350</v>
      </c>
      <c r="B340" s="2" t="s">
        <v>685</v>
      </c>
      <c r="C340" s="2" t="s">
        <v>686</v>
      </c>
      <c r="E340" s="2" t="s">
        <v>16</v>
      </c>
      <c r="F340" s="2">
        <v>2</v>
      </c>
      <c r="G340" s="2" t="s">
        <v>16</v>
      </c>
      <c r="H340" s="2">
        <v>56</v>
      </c>
      <c r="I340" s="2">
        <v>12</v>
      </c>
      <c r="K340" s="2">
        <v>50</v>
      </c>
      <c r="L340" s="2">
        <v>60</v>
      </c>
      <c r="M340" s="2" t="s">
        <v>2</v>
      </c>
      <c r="N340">
        <v>8</v>
      </c>
      <c r="R340">
        <f t="shared" si="29"/>
        <v>672</v>
      </c>
      <c r="S340">
        <v>9</v>
      </c>
      <c r="U340" t="s">
        <v>2</v>
      </c>
      <c r="V340" t="s">
        <v>3</v>
      </c>
      <c r="W340">
        <f t="shared" si="30"/>
        <v>9</v>
      </c>
      <c r="X340">
        <f t="shared" si="31"/>
        <v>702</v>
      </c>
      <c r="Y340" t="s">
        <v>3</v>
      </c>
    </row>
    <row r="341" spans="1:25" x14ac:dyDescent="0.2">
      <c r="A341">
        <v>9301540</v>
      </c>
      <c r="B341" s="2" t="s">
        <v>687</v>
      </c>
      <c r="C341" s="2" t="s">
        <v>688</v>
      </c>
      <c r="E341" s="2" t="s">
        <v>16</v>
      </c>
      <c r="F341" s="2">
        <v>2</v>
      </c>
      <c r="G341" s="2" t="s">
        <v>16</v>
      </c>
      <c r="H341" s="2">
        <v>64</v>
      </c>
      <c r="I341" s="2">
        <v>10</v>
      </c>
      <c r="K341" s="2">
        <v>50</v>
      </c>
      <c r="L341" s="2">
        <v>60</v>
      </c>
      <c r="M341" s="2" t="s">
        <v>2</v>
      </c>
      <c r="N341">
        <v>8</v>
      </c>
      <c r="R341">
        <f t="shared" si="29"/>
        <v>640</v>
      </c>
      <c r="S341">
        <v>9</v>
      </c>
      <c r="U341" t="s">
        <v>2</v>
      </c>
      <c r="V341" t="s">
        <v>3</v>
      </c>
      <c r="W341">
        <f t="shared" si="30"/>
        <v>9</v>
      </c>
      <c r="X341">
        <f t="shared" si="31"/>
        <v>670</v>
      </c>
      <c r="Y341" t="s">
        <v>3</v>
      </c>
    </row>
    <row r="342" spans="1:25" x14ac:dyDescent="0.2">
      <c r="A342">
        <v>9301541</v>
      </c>
      <c r="B342" s="2" t="s">
        <v>689</v>
      </c>
      <c r="C342" s="2" t="s">
        <v>690</v>
      </c>
      <c r="E342" s="2" t="s">
        <v>16</v>
      </c>
      <c r="F342" s="2">
        <v>2</v>
      </c>
      <c r="G342" s="2" t="s">
        <v>16</v>
      </c>
      <c r="H342" s="2">
        <v>56</v>
      </c>
      <c r="I342" s="2">
        <v>15</v>
      </c>
      <c r="K342" s="2">
        <v>50</v>
      </c>
      <c r="L342" s="2">
        <v>60</v>
      </c>
      <c r="M342" s="2" t="s">
        <v>2</v>
      </c>
      <c r="N342">
        <v>8</v>
      </c>
      <c r="R342">
        <f t="shared" si="29"/>
        <v>840</v>
      </c>
      <c r="S342">
        <v>9</v>
      </c>
      <c r="U342" t="s">
        <v>2</v>
      </c>
      <c r="W342">
        <f t="shared" si="30"/>
        <v>9</v>
      </c>
      <c r="X342">
        <f t="shared" si="31"/>
        <v>870</v>
      </c>
      <c r="Y342" t="s">
        <v>3</v>
      </c>
    </row>
    <row r="343" spans="1:25" x14ac:dyDescent="0.2">
      <c r="K343" s="2">
        <v>50</v>
      </c>
      <c r="L343" s="2">
        <v>60</v>
      </c>
      <c r="M343" s="2" t="s">
        <v>2</v>
      </c>
      <c r="U343" t="s">
        <v>2</v>
      </c>
      <c r="W343">
        <f t="shared" si="30"/>
        <v>0</v>
      </c>
      <c r="X343">
        <f t="shared" si="31"/>
        <v>30</v>
      </c>
      <c r="Y343" t="s">
        <v>3</v>
      </c>
    </row>
    <row r="344" spans="1:25" x14ac:dyDescent="0.2">
      <c r="K344" s="2">
        <v>50</v>
      </c>
      <c r="L344" s="2">
        <v>60</v>
      </c>
      <c r="U344" t="s">
        <v>2</v>
      </c>
    </row>
    <row r="345" spans="1:25" x14ac:dyDescent="0.2">
      <c r="K345" s="2">
        <v>50</v>
      </c>
      <c r="L345" s="2">
        <v>60</v>
      </c>
      <c r="U345" t="s">
        <v>2</v>
      </c>
    </row>
    <row r="346" spans="1:25" x14ac:dyDescent="0.2">
      <c r="K346" s="2">
        <v>50</v>
      </c>
      <c r="U346" t="s">
        <v>2</v>
      </c>
    </row>
    <row r="347" spans="1:25" x14ac:dyDescent="0.2">
      <c r="K347" s="2">
        <v>50</v>
      </c>
      <c r="U347" t="s">
        <v>2</v>
      </c>
    </row>
  </sheetData>
  <autoFilter ref="M1:T342" xr:uid="{05D28BCB-497A-4036-A296-F9A322FBBB1E}">
    <filterColumn colId="0">
      <filters blank="1"/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7A1DD-512A-4B9F-822B-4B613C351D7B}">
  <dimension ref="A1:E4"/>
  <sheetViews>
    <sheetView rightToLeft="1" workbookViewId="0">
      <selection activeCell="C16" sqref="C16"/>
    </sheetView>
  </sheetViews>
  <sheetFormatPr defaultRowHeight="14.25" x14ac:dyDescent="0.2"/>
  <cols>
    <col min="2" max="5" width="12.5" customWidth="1"/>
  </cols>
  <sheetData>
    <row r="1" spans="1:5" ht="30" x14ac:dyDescent="0.2">
      <c r="A1" s="3" t="s">
        <v>719</v>
      </c>
      <c r="B1" s="5" t="s">
        <v>720</v>
      </c>
      <c r="C1" s="5" t="s">
        <v>721</v>
      </c>
      <c r="D1" s="5" t="s">
        <v>722</v>
      </c>
      <c r="E1" s="5" t="s">
        <v>723</v>
      </c>
    </row>
    <row r="2" spans="1:5" x14ac:dyDescent="0.2">
      <c r="A2" s="1" t="s">
        <v>724</v>
      </c>
      <c r="B2" s="4">
        <v>589</v>
      </c>
      <c r="C2" s="4">
        <v>235</v>
      </c>
      <c r="D2" s="4">
        <v>239</v>
      </c>
      <c r="E2" s="6">
        <v>28000</v>
      </c>
    </row>
    <row r="3" spans="1:5" x14ac:dyDescent="0.2">
      <c r="A3" s="1" t="s">
        <v>725</v>
      </c>
      <c r="B3" s="6">
        <v>1203</v>
      </c>
      <c r="C3" s="4">
        <v>235</v>
      </c>
      <c r="D3" s="4">
        <v>239</v>
      </c>
      <c r="E3" s="6">
        <v>26500</v>
      </c>
    </row>
    <row r="4" spans="1:5" x14ac:dyDescent="0.2">
      <c r="A4" s="1" t="s">
        <v>726</v>
      </c>
      <c r="B4" s="6">
        <v>1203</v>
      </c>
      <c r="C4" s="4">
        <v>235</v>
      </c>
      <c r="D4" s="4">
        <v>269</v>
      </c>
      <c r="E4" s="6">
        <v>26500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LOADING DEMO</vt:lpstr>
      <vt:lpstr>Containers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Inbal Livnat</dc:creator>
  <cp:lastModifiedBy>Inbal Livnat</cp:lastModifiedBy>
  <dcterms:created xsi:type="dcterms:W3CDTF">2026-07-17T23:40:17Z</dcterms:created>
  <dcterms:modified xsi:type="dcterms:W3CDTF">2026-07-17T23:41:10Z</dcterms:modified>
</cp:coreProperties>
</file>